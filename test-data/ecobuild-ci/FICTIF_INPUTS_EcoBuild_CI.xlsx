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📖 GUIDE DUTILISATION" sheetId="1" state="visible" r:id="rId1"/>
    <sheet xmlns:r="http://schemas.openxmlformats.org/officeDocument/2006/relationships" name="1️⃣ Infos Générales" sheetId="2" state="visible" r:id="rId2"/>
    <sheet xmlns:r="http://schemas.openxmlformats.org/officeDocument/2006/relationships" name="2️⃣ Données Historiques" sheetId="3" state="visible" r:id="rId3"/>
    <sheet xmlns:r="http://schemas.openxmlformats.org/officeDocument/2006/relationships" name="3️⃣ Produits &amp; Services" sheetId="4" state="visible" r:id="rId4"/>
    <sheet xmlns:r="http://schemas.openxmlformats.org/officeDocument/2006/relationships" name="4️⃣ Ressources Humaines" sheetId="5" state="visible" r:id="rId5"/>
    <sheet xmlns:r="http://schemas.openxmlformats.org/officeDocument/2006/relationships" name="6️⃣ Coûts Fixes &amp; Variables" sheetId="6" state="visible" r:id="rId6"/>
    <sheet xmlns:r="http://schemas.openxmlformats.org/officeDocument/2006/relationships" name="6️⃣ BFR, Invest. &amp; Finance" sheetId="7" state="visible" r:id="rId7"/>
    <sheet xmlns:r="http://schemas.openxmlformats.org/officeDocument/2006/relationships" name="5️⃣ Hypothèses Croissa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&quot;%&quot;"/>
    <numFmt numFmtId="166" formatCode="0.0&quot;%&quot;"/>
  </numFmts>
  <fonts count="25">
    <font>
      <name val="Calibri"/>
      <color theme="1"/>
      <sz val="11"/>
      <scheme val="minor"/>
    </font>
    <font>
      <name val="Calibri"/>
      <b val="1"/>
      <color rgb="FFFFFFFF"/>
      <sz val="16"/>
    </font>
    <font/>
    <font>
      <name val="Calibri"/>
      <b val="1"/>
      <color rgb="FFFFFFFF"/>
      <sz val="12"/>
    </font>
    <font>
      <name val="Calibri"/>
      <color theme="1"/>
      <sz val="10"/>
    </font>
    <font>
      <name val="Calibri"/>
      <b val="1"/>
      <color rgb="FFE74C3C"/>
      <sz val="11"/>
    </font>
    <font>
      <name val="Calibri"/>
      <b val="1"/>
      <color theme="1"/>
      <sz val="11"/>
    </font>
    <font>
      <name val="Calibri"/>
      <color theme="1"/>
      <sz val="11"/>
    </font>
    <font>
      <name val="Calibri"/>
      <b val="1"/>
      <color rgb="FFFFFFFF"/>
      <sz val="11"/>
    </font>
    <font>
      <name val="Calibri"/>
      <b val="1"/>
      <color theme="1"/>
      <sz val="10"/>
    </font>
    <font>
      <name val="Calibri"/>
      <i val="1"/>
      <color rgb="FF7F8C8D"/>
      <sz val="9"/>
    </font>
    <font>
      <name val="Calibri"/>
      <i val="1"/>
      <color rgb="FFE67E22"/>
      <sz val="11"/>
    </font>
    <font>
      <name val="Calibri"/>
      <color theme="1"/>
      <scheme val="minor"/>
    </font>
    <font>
      <name val="Calibri"/>
      <b val="1"/>
      <color theme="1"/>
      <sz val="12"/>
    </font>
    <font>
      <name val="Calibri"/>
      <b val="1"/>
      <color rgb="FFFFFFFF"/>
      <sz val="13"/>
    </font>
    <font>
      <name val="Calibri"/>
      <i val="1"/>
      <color theme="1"/>
      <sz val="9"/>
    </font>
    <font>
      <name val="Calibri"/>
      <b val="1"/>
      <color rgb="FFFFFFFF"/>
      <sz val="10"/>
    </font>
    <font>
      <name val="Calibri"/>
      <b val="1"/>
      <color theme="1"/>
      <sz val="9"/>
    </font>
    <font>
      <name val="Calibri"/>
      <b val="1"/>
      <color rgb="FFFFFFFF"/>
      <sz val="8"/>
    </font>
    <font>
      <name val="Calibri"/>
      <color theme="1"/>
      <sz val="9"/>
    </font>
    <font>
      <name val="Calibri"/>
      <i val="1"/>
      <color rgb="FFEF6C00"/>
      <sz val="9"/>
    </font>
    <font>
      <name val="Calibri"/>
      <b val="1"/>
      <color rgb="FFFFFFFF"/>
      <sz val="14"/>
    </font>
    <font>
      <name val="Calibri"/>
      <i val="1"/>
      <color rgb="FF999999"/>
      <sz val="9"/>
    </font>
    <font>
      <name val="Calibri"/>
      <b val="1"/>
      <i val="1"/>
      <color rgb="FFC62828"/>
      <sz val="9"/>
    </font>
    <font>
      <name val="Calibri"/>
      <color rgb="FF2E7D32"/>
      <sz val="11"/>
    </font>
  </fonts>
  <fills count="19">
    <fill>
      <patternFill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3498DB"/>
        <bgColor rgb="FF3498DB"/>
      </patternFill>
    </fill>
    <fill>
      <patternFill patternType="solid">
        <fgColor rgb="FFFFFFFF"/>
        <bgColor rgb="FFFFFFFF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ECF0F1"/>
        <bgColor rgb="FFECF0F1"/>
      </patternFill>
    </fill>
    <fill>
      <patternFill patternType="solid">
        <fgColor rgb="FFD6EAF8"/>
        <bgColor rgb="FFD6EAF8"/>
      </patternFill>
    </fill>
    <fill>
      <patternFill patternType="solid">
        <fgColor rgb="FF16A085"/>
        <bgColor rgb="FF16A085"/>
      </patternFill>
    </fill>
    <fill>
      <patternFill patternType="solid">
        <fgColor rgb="FF2E7D32"/>
        <bgColor rgb="FF2E7D32"/>
      </patternFill>
    </fill>
    <fill>
      <patternFill patternType="solid">
        <fgColor rgb="FF66BB6A"/>
        <bgColor rgb="FF66BB6A"/>
      </patternFill>
    </fill>
    <fill>
      <patternFill patternType="solid">
        <fgColor rgb="FFE8F5E9"/>
        <bgColor rgb="FFE8F5E9"/>
      </patternFill>
    </fill>
    <fill>
      <patternFill patternType="solid">
        <fgColor rgb="FFA5D6A7"/>
        <bgColor rgb="FFA5D6A7"/>
      </patternFill>
    </fill>
    <fill>
      <patternFill patternType="solid">
        <fgColor rgb="FFFFF9C4"/>
        <bgColor rgb="FFFFF9C4"/>
      </patternFill>
    </fill>
    <fill>
      <patternFill patternType="solid">
        <fgColor rgb="FFFFD700"/>
        <bgColor rgb="FFFFD700"/>
      </patternFill>
    </fill>
    <fill>
      <patternFill patternType="solid">
        <fgColor rgb="FFFFF3E0"/>
        <bgColor rgb="FFFFF3E0"/>
      </patternFill>
    </fill>
    <fill>
      <patternFill patternType="solid">
        <fgColor rgb="FF9B59B6"/>
        <bgColor rgb="FF9B59B6"/>
      </patternFill>
    </fill>
    <fill>
      <patternFill patternType="solid">
        <fgColor rgb="FFE67E22"/>
        <bgColor rgb="FFE67E22"/>
      </patternFill>
    </fill>
  </fills>
  <borders count="2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3498DB"/>
      </left>
      <right style="medium">
        <color rgb="FF3498DB"/>
      </right>
      <top style="medium">
        <color rgb="FF3498DB"/>
      </top>
      <bottom style="medium">
        <color rgb="FF3498DB"/>
      </bottom>
    </border>
    <border>
      <left style="medium">
        <color rgb="FF3498DB"/>
      </left>
      <top style="medium">
        <color rgb="FF3498DB"/>
      </top>
    </border>
    <border>
      <top style="medium">
        <color rgb="FF3498DB"/>
      </top>
    </border>
    <border>
      <right style="medium">
        <color rgb="FF3498DB"/>
      </right>
      <top style="medium">
        <color rgb="FF3498DB"/>
      </top>
    </border>
    <border>
      <left style="medium">
        <color rgb="FF3498DB"/>
      </left>
    </border>
    <border>
      <right style="medium">
        <color rgb="FF3498DB"/>
      </right>
    </border>
    <border>
      <left style="medium">
        <color rgb="FF3498DB"/>
      </left>
      <bottom style="medium">
        <color rgb="FF3498DB"/>
      </bottom>
    </border>
    <border>
      <bottom style="medium">
        <color rgb="FF3498DB"/>
      </bottom>
    </border>
    <border>
      <right style="medium">
        <color rgb="FF3498DB"/>
      </right>
      <bottom style="medium">
        <color rgb="FF3498DB"/>
      </bottom>
    </border>
    <border>
      <left style="medium">
        <color rgb="FF3498DB"/>
      </left>
      <right style="thin">
        <color rgb="FF000000"/>
      </right>
      <top style="medium">
        <color rgb="FF3498DB"/>
      </top>
      <bottom style="medium">
        <color rgb="FF3498DB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8" fillId="3" borderId="4" pivotButton="0" quotePrefix="0" xfId="0"/>
    <xf numFmtId="0" fontId="7" fillId="0" borderId="0" pivotButton="0" quotePrefix="0" xfId="0"/>
    <xf numFmtId="0" fontId="7" fillId="4" borderId="5" pivotButton="0" quotePrefix="0" xfId="0"/>
    <xf numFmtId="0" fontId="7" fillId="5" borderId="4" pivotButton="0" quotePrefix="0" xfId="0"/>
    <xf numFmtId="0" fontId="7" fillId="6" borderId="4" pivotButton="0" quotePrefix="0" xfId="0"/>
    <xf numFmtId="0" fontId="9" fillId="7" borderId="4" applyAlignment="1" pivotButton="0" quotePrefix="0" xfId="0">
      <alignment horizontal="left" vertical="center" wrapText="1"/>
    </xf>
    <xf numFmtId="0" fontId="7" fillId="8" borderId="6" pivotButton="0" quotePrefix="0" xfId="0"/>
    <xf numFmtId="0" fontId="10" fillId="0" borderId="0" applyAlignment="1" pivotButton="0" quotePrefix="0" xfId="0">
      <alignment horizontal="left" vertical="center" wrapText="1"/>
    </xf>
    <xf numFmtId="0" fontId="7" fillId="0" borderId="6" pivotButton="0" quotePrefix="0" xfId="0"/>
    <xf numFmtId="0" fontId="9" fillId="7" borderId="1" applyAlignment="1" pivotButton="0" quotePrefix="0" xfId="0">
      <alignment horizontal="left" vertical="center" wrapText="1"/>
    </xf>
    <xf numFmtId="0" fontId="7" fillId="8" borderId="7" applyAlignment="1" pivotButton="0" quotePrefix="0" xfId="0">
      <alignment vertical="top" wrapText="1"/>
    </xf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11" fillId="6" borderId="1" pivotButton="0" quotePrefix="0" xfId="0"/>
    <xf numFmtId="0" fontId="3" fillId="3" borderId="4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12" fillId="0" borderId="0" pivotButton="0" quotePrefix="0" xfId="0"/>
    <xf numFmtId="3" fontId="7" fillId="8" borderId="6" pivotButton="0" quotePrefix="0" xfId="0"/>
    <xf numFmtId="3" fontId="10" fillId="0" borderId="0" applyAlignment="1" pivotButton="0" quotePrefix="0" xfId="0">
      <alignment horizontal="left" vertical="center" wrapText="1"/>
    </xf>
    <xf numFmtId="164" fontId="10" fillId="0" borderId="0" applyAlignment="1" pivotButton="0" quotePrefix="0" xfId="0">
      <alignment horizontal="left" vertical="center" wrapText="1"/>
    </xf>
    <xf numFmtId="164" fontId="7" fillId="5" borderId="4" pivotButton="0" quotePrefix="0" xfId="0"/>
    <xf numFmtId="0" fontId="12" fillId="0" borderId="0" pivotButton="0" quotePrefix="0" xfId="0"/>
    <xf numFmtId="0" fontId="3" fillId="0" borderId="0" applyAlignment="1" pivotButton="0" quotePrefix="0" xfId="0">
      <alignment horizontal="left" vertical="center"/>
    </xf>
    <xf numFmtId="165" fontId="10" fillId="0" borderId="0" applyAlignment="1" pivotButton="0" quotePrefix="0" xfId="0">
      <alignment horizontal="left" vertical="center" wrapText="1"/>
    </xf>
    <xf numFmtId="0" fontId="7" fillId="8" borderId="15" pivotButton="0" quotePrefix="0" xfId="0"/>
    <xf numFmtId="3" fontId="7" fillId="0" borderId="0" pivotButton="0" quotePrefix="0" xfId="0"/>
    <xf numFmtId="165" fontId="7" fillId="0" borderId="0" pivotButton="0" quotePrefix="0" xfId="0"/>
    <xf numFmtId="0" fontId="13" fillId="0" borderId="0" pivotButton="0" quotePrefix="0" xfId="0"/>
    <xf numFmtId="3" fontId="8" fillId="0" borderId="0" pivotButton="0" quotePrefix="0" xfId="0"/>
    <xf numFmtId="0" fontId="14" fillId="1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 wrapText="1"/>
    </xf>
    <xf numFmtId="0" fontId="16" fillId="11" borderId="16" applyAlignment="1" pivotButton="0" quotePrefix="0" xfId="0">
      <alignment horizontal="center" vertical="center" wrapText="1"/>
    </xf>
    <xf numFmtId="0" fontId="2" fillId="0" borderId="17" pivotButton="0" quotePrefix="0" xfId="0"/>
    <xf numFmtId="0" fontId="2" fillId="0" borderId="18" pivotButton="0" quotePrefix="0" xfId="0"/>
    <xf numFmtId="0" fontId="17" fillId="12" borderId="5" applyAlignment="1" pivotButton="0" quotePrefix="0" xfId="0">
      <alignment horizontal="center" vertical="center" wrapText="1"/>
    </xf>
    <xf numFmtId="0" fontId="18" fillId="13" borderId="5" applyAlignment="1" pivotButton="0" quotePrefix="0" xfId="0">
      <alignment horizontal="center" vertical="center" wrapText="1"/>
    </xf>
    <xf numFmtId="0" fontId="17" fillId="14" borderId="5" applyAlignment="1" pivotButton="0" quotePrefix="0" xfId="0">
      <alignment horizontal="center" vertical="center" wrapText="1"/>
    </xf>
    <xf numFmtId="0" fontId="19" fillId="12" borderId="5" applyAlignment="1" pivotButton="0" quotePrefix="0" xfId="0">
      <alignment horizontal="left" vertical="center" wrapText="1"/>
    </xf>
    <xf numFmtId="0" fontId="7" fillId="0" borderId="5" applyAlignment="1" pivotButton="0" quotePrefix="0" xfId="0">
      <alignment horizontal="center" vertical="center" wrapText="1"/>
    </xf>
    <xf numFmtId="3" fontId="17" fillId="14" borderId="5" applyAlignment="1" pivotButton="0" quotePrefix="0" xfId="0">
      <alignment horizontal="center" vertical="center" wrapText="1"/>
    </xf>
    <xf numFmtId="0" fontId="9" fillId="14" borderId="5" applyAlignment="1" pivotButton="0" quotePrefix="0" xfId="0">
      <alignment horizontal="center" vertical="center" wrapText="1"/>
    </xf>
    <xf numFmtId="3" fontId="9" fillId="15" borderId="5" applyAlignment="1" pivotButton="0" quotePrefix="0" xfId="0">
      <alignment horizontal="center" vertical="center" wrapText="1"/>
    </xf>
    <xf numFmtId="0" fontId="20" fillId="16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10" fillId="0" borderId="0" pivotButton="0" quotePrefix="0" xfId="0"/>
    <xf numFmtId="3" fontId="10" fillId="0" borderId="0" pivotButton="0" quotePrefix="0" xfId="0"/>
    <xf numFmtId="3" fontId="7" fillId="8" borderId="15" pivotButton="0" quotePrefix="0" xfId="0"/>
    <xf numFmtId="0" fontId="3" fillId="17" borderId="1" applyAlignment="1" pivotButton="0" quotePrefix="0" xfId="0">
      <alignment horizontal="left" vertical="center"/>
    </xf>
    <xf numFmtId="3" fontId="7" fillId="5" borderId="6" pivotButton="0" quotePrefix="0" xfId="0"/>
    <xf numFmtId="3" fontId="8" fillId="3" borderId="4" pivotButton="0" quotePrefix="0" xfId="0"/>
    <xf numFmtId="0" fontId="3" fillId="18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6" fillId="12" borderId="4" pivotButton="0" quotePrefix="0" xfId="0"/>
    <xf numFmtId="0" fontId="7" fillId="0" borderId="5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22" fillId="0" borderId="0" pivotButton="0" quotePrefix="0" xfId="0"/>
    <xf numFmtId="0" fontId="23" fillId="0" borderId="0" pivotButton="0" quotePrefix="0" xfId="0"/>
    <xf numFmtId="0" fontId="6" fillId="12" borderId="5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24" fillId="0" borderId="5" applyAlignment="1" pivotButton="0" quotePrefix="0" xfId="0">
      <alignment horizontal="center" vertical="center" wrapText="1"/>
    </xf>
    <xf numFmtId="166" fontId="7" fillId="5" borderId="4" pivotButton="0" quotePrefix="0" xfId="0"/>
    <xf numFmtId="166" fontId="7" fillId="8" borderId="6" pivotButton="0" quotePrefix="0" xfId="0"/>
    <xf numFmtId="0" fontId="0" fillId="0" borderId="0" pivotButton="0" quotePrefix="0" xfId="0"/>
    <xf numFmtId="0" fontId="1" fillId="2" borderId="4" applyAlignment="1" pivotButton="0" quotePrefix="0" xfId="0">
      <alignment horizontal="center" vertical="center" wrapText="1"/>
    </xf>
    <xf numFmtId="0" fontId="7" fillId="8" borderId="6" applyAlignment="1" pivotButton="0" quotePrefix="0" xfId="0">
      <alignment vertical="top" wrapText="1"/>
    </xf>
    <xf numFmtId="0" fontId="11" fillId="6" borderId="4" pivotButton="0" quotePrefix="0" xfId="0"/>
    <xf numFmtId="0" fontId="3" fillId="9" borderId="4" applyAlignment="1" pivotButton="0" quotePrefix="0" xfId="0">
      <alignment horizontal="left" vertical="center"/>
    </xf>
    <xf numFmtId="0" fontId="14" fillId="10" borderId="4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20" fillId="16" borderId="4" applyAlignment="1" pivotButton="0" quotePrefix="0" xfId="0">
      <alignment horizontal="left" vertical="center" wrapText="1"/>
    </xf>
    <xf numFmtId="0" fontId="1" fillId="2" borderId="4" applyAlignment="1" pivotButton="0" quotePrefix="0" xfId="0">
      <alignment horizontal="center" vertical="center"/>
    </xf>
    <xf numFmtId="0" fontId="3" fillId="17" borderId="4" applyAlignment="1" pivotButton="0" quotePrefix="0" xfId="0">
      <alignment horizontal="left" vertical="center"/>
    </xf>
    <xf numFmtId="0" fontId="3" fillId="18" borderId="4" applyAlignment="1" pivotButton="0" quotePrefix="0" xfId="0">
      <alignment horizontal="left" vertical="center"/>
    </xf>
    <xf numFmtId="0" fontId="21" fillId="10" borderId="4" applyAlignment="1" pivotButton="0" quotePrefix="0" xfId="0">
      <alignment horizontal="center" vertical="center" wrapText="1"/>
    </xf>
    <xf numFmtId="0" fontId="3" fillId="11" borderId="4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77" min="1" max="1"/>
    <col width="25" customWidth="1" style="77" min="2" max="2"/>
    <col width="15" customWidth="1" style="77" min="3" max="3"/>
    <col width="40" customWidth="1" style="77" min="4" max="4"/>
    <col width="15" customWidth="1" style="77" min="5" max="6"/>
    <col width="8.859999999999999" customWidth="1" style="77" min="7" max="26"/>
  </cols>
  <sheetData>
    <row r="1" ht="39.75" customHeight="1" s="77">
      <c r="A1" s="78" t="inlineStr">
        <is>
          <t>📖 GUIDE D'UTILISATION - FRAMEWORK D'INPUTS ENTREPRENEURS</t>
        </is>
      </c>
    </row>
    <row r="3">
      <c r="A3" s="28" t="inlineStr">
        <is>
          <t>🎯 OBJECTIF DE CE FRAMEWORK</t>
        </is>
      </c>
    </row>
    <row r="5">
      <c r="A5" s="5" t="inlineStr">
        <is>
          <t>Ce framework vous permet de structurer les informations financières de votre entreprise pour :</t>
        </is>
      </c>
    </row>
    <row r="6">
      <c r="A6" s="5" t="inlineStr">
        <is>
          <t>✅ Analyser la situation financière actuelle</t>
        </is>
      </c>
    </row>
    <row r="7">
      <c r="A7" s="5" t="inlineStr">
        <is>
          <t>✅ Établir des projections réalistes sur 5 ans</t>
        </is>
      </c>
    </row>
    <row r="8">
      <c r="A8" s="5" t="inlineStr">
        <is>
          <t>✅ Identifier les leviers de croissance</t>
        </is>
      </c>
    </row>
    <row r="9">
      <c r="A9" s="5" t="inlineStr">
        <is>
          <t>✅ Préparer des dossiers de financement</t>
        </is>
      </c>
    </row>
    <row r="10">
      <c r="A10" s="5" t="inlineStr">
        <is>
          <t>✅ Piloter la performance de votre activité</t>
        </is>
      </c>
    </row>
    <row r="13">
      <c r="A13" s="28" t="inlineStr">
        <is>
          <t>📝 COMMENT REMPLIR CE FRAMEWORK</t>
        </is>
      </c>
    </row>
    <row r="15">
      <c r="A15" s="6" t="inlineStr">
        <is>
          <t>ÉTAPE 1</t>
        </is>
      </c>
      <c r="B15" s="7" t="inlineStr">
        <is>
          <t>Informations Générales</t>
        </is>
      </c>
      <c r="D15" s="8" t="inlineStr">
        <is>
          <t>Remplissez les informations de base sur votre entreprise</t>
        </is>
      </c>
    </row>
    <row r="16">
      <c r="A16" s="6" t="inlineStr">
        <is>
          <t>ÉTAPE 2</t>
        </is>
      </c>
      <c r="B16" s="7" t="inlineStr">
        <is>
          <t>Données Historiques</t>
        </is>
      </c>
      <c r="D16" s="8" t="inlineStr">
        <is>
          <t>Indiquez vos chiffres réels des 3 dernières années (si disponibles)</t>
        </is>
      </c>
    </row>
    <row r="17">
      <c r="A17" s="6" t="inlineStr">
        <is>
          <t>ÉTAPE 3</t>
        </is>
      </c>
      <c r="B17" s="7" t="inlineStr">
        <is>
          <t>Produits &amp; Services</t>
        </is>
      </c>
      <c r="D17" s="8" t="inlineStr">
        <is>
          <t>Listez tous vos produits/services et leurs prix</t>
        </is>
      </c>
    </row>
    <row r="18">
      <c r="A18" s="6" t="inlineStr">
        <is>
          <t>ÉTAPE 4</t>
        </is>
      </c>
      <c r="B18" s="7" t="inlineStr">
        <is>
          <t>Coûts &amp; Charges</t>
        </is>
      </c>
      <c r="D18" s="8" t="inlineStr">
        <is>
          <t>Détaillez vos coûts de production et charges fixes</t>
        </is>
      </c>
    </row>
    <row r="19">
      <c r="A19" s="6" t="inlineStr">
        <is>
          <t>ÉTAPE 5</t>
        </is>
      </c>
      <c r="B19" s="7" t="inlineStr">
        <is>
          <t>Ressources Humaines</t>
        </is>
      </c>
      <c r="D19" s="8" t="inlineStr">
        <is>
          <t>Listez votre équipe et les salaires</t>
        </is>
      </c>
    </row>
    <row r="20">
      <c r="A20" s="6" t="inlineStr">
        <is>
          <t>ÉTAPE 6</t>
        </is>
      </c>
      <c r="B20" s="7" t="inlineStr">
        <is>
          <t>Investissements</t>
        </is>
      </c>
      <c r="D20" s="8" t="inlineStr">
        <is>
          <t>Indiquez les investissements prévus (équipements, etc.)</t>
        </is>
      </c>
    </row>
    <row r="21" ht="15.75" customHeight="1" s="77">
      <c r="A21" s="6" t="inlineStr">
        <is>
          <t>ÉTAPE 7</t>
        </is>
      </c>
      <c r="B21" s="7" t="inlineStr">
        <is>
          <t>Hypothèses Croissance</t>
        </is>
      </c>
      <c r="D21" s="8" t="inlineStr">
        <is>
          <t>Définissez vos objectifs de croissance</t>
        </is>
      </c>
    </row>
    <row r="22" ht="15.75" customHeight="1" s="77">
      <c r="A22" s="6" t="inlineStr">
        <is>
          <t>ÉTAPE 8</t>
        </is>
      </c>
      <c r="B22" s="7" t="inlineStr">
        <is>
          <t>Financement</t>
        </is>
      </c>
      <c r="D22" s="8" t="inlineStr">
        <is>
          <t>Précisez vos besoins et sources de financement</t>
        </is>
      </c>
    </row>
    <row r="23" ht="15.75" customHeight="1" s="77"/>
    <row r="24" ht="15.75" customHeight="1" s="77"/>
    <row r="25" ht="15.75" customHeight="1" s="77">
      <c r="A25" s="28" t="inlineStr">
        <is>
          <t>💡 CONSEILS IMPORTANTS</t>
        </is>
      </c>
    </row>
    <row r="26" ht="15.75" customHeight="1" s="77"/>
    <row r="27" ht="15.75" customHeight="1" s="77">
      <c r="A27" s="5" t="inlineStr">
        <is>
          <t>📌 Soyez RÉALISTE dans vos estimations - évitez d'être trop optimiste</t>
        </is>
      </c>
    </row>
    <row r="28" ht="15.75" customHeight="1" s="77">
      <c r="A28" s="5" t="inlineStr">
        <is>
          <t>📌 Basez-vous sur des DONNÉES RÉELLES quand vous en avez</t>
        </is>
      </c>
    </row>
    <row r="29" ht="15.75" customHeight="1" s="77">
      <c r="A29" s="5" t="inlineStr">
        <is>
          <t>📌 Les cellules en BLEU sont à remplir obligatoirement</t>
        </is>
      </c>
    </row>
    <row r="30" ht="15.75" customHeight="1" s="77">
      <c r="A30" s="5" t="inlineStr">
        <is>
          <t>📌 Les cellules en GRIS contiennent des exemples (à remplacer)</t>
        </is>
      </c>
    </row>
    <row r="31" ht="15.75" customHeight="1" s="77">
      <c r="A31" s="5" t="inlineStr">
        <is>
          <t>📌 Consultez les exemples GOTCHE pour vous inspirer</t>
        </is>
      </c>
    </row>
    <row r="32" ht="15.75" customHeight="1" s="77">
      <c r="A32" s="5" t="inlineStr">
        <is>
          <t>📌 N'hésitez pas à demander de l'aide pour les sections complexes</t>
        </is>
      </c>
    </row>
    <row r="33" ht="15.75" customHeight="1" s="77"/>
    <row r="34" ht="15.75" customHeight="1" s="77"/>
    <row r="35" ht="15.75" customHeight="1" s="77">
      <c r="A35" s="28" t="inlineStr">
        <is>
          <t>🎨 LÉGENDE DES COULEURS</t>
        </is>
      </c>
    </row>
    <row r="36" ht="15.75" customHeight="1" s="77"/>
    <row r="37" ht="15.75" customHeight="1" s="77">
      <c r="A37" s="9" t="inlineStr">
        <is>
          <t>🔵 Bleu</t>
        </is>
      </c>
      <c r="B37" s="10" t="inlineStr">
        <is>
          <t>Cellule à remplir (OBLIGATOIRE)</t>
        </is>
      </c>
    </row>
    <row r="38" ht="15.75" customHeight="1" s="77">
      <c r="A38" s="11" t="inlineStr">
        <is>
          <t>⚪ Blanc</t>
        </is>
      </c>
      <c r="B38" s="10" t="inlineStr">
        <is>
          <t>Cellule à remplir (OPTIONNELLE)</t>
        </is>
      </c>
    </row>
    <row r="39" ht="15.75" customHeight="1" s="77">
      <c r="A39" s="12" t="inlineStr">
        <is>
          <t>🟢 Vert</t>
        </is>
      </c>
      <c r="B39" s="10" t="inlineStr">
        <is>
          <t>Calcul automatique (NE PAS MODIFIER)</t>
        </is>
      </c>
    </row>
    <row r="40" ht="15.75" customHeight="1" s="77">
      <c r="A40" s="13" t="inlineStr">
        <is>
          <t>🟡 Jaune</t>
        </is>
      </c>
      <c r="B40" s="10" t="inlineStr">
        <is>
          <t>Information importante / Alerte</t>
        </is>
      </c>
    </row>
    <row r="41" ht="15.75" customHeight="1" s="77"/>
    <row r="42" ht="15.75" customHeight="1" s="77"/>
    <row r="43" ht="15.75" customHeight="1" s="77"/>
    <row r="44" ht="15.75" customHeight="1" s="77"/>
    <row r="45" ht="15.75" customHeight="1" s="77"/>
    <row r="46" ht="15.75" customHeight="1" s="77"/>
    <row r="47" ht="15.75" customHeight="1" s="77"/>
    <row r="48" ht="15.75" customHeight="1" s="77"/>
    <row r="49" ht="15.75" customHeight="1" s="77"/>
    <row r="50" ht="15.75" customHeight="1" s="77"/>
    <row r="51" ht="15.75" customHeight="1" s="77"/>
    <row r="52" ht="15.75" customHeight="1" s="77"/>
    <row r="53" ht="15.75" customHeight="1" s="77"/>
    <row r="54" ht="15.75" customHeight="1" s="77"/>
    <row r="55" ht="15.75" customHeight="1" s="77"/>
    <row r="56" ht="15.75" customHeight="1" s="77"/>
    <row r="57" ht="15.75" customHeight="1" s="77"/>
    <row r="58" ht="15.75" customHeight="1" s="77"/>
    <row r="59" ht="15.75" customHeight="1" s="77"/>
    <row r="60" ht="15.75" customHeight="1" s="77"/>
    <row r="61" ht="15.75" customHeight="1" s="77"/>
    <row r="62" ht="15.75" customHeight="1" s="77"/>
    <row r="63" ht="15.75" customHeight="1" s="77"/>
    <row r="64" ht="15.75" customHeight="1" s="77"/>
    <row r="65" ht="15.75" customHeight="1" s="77"/>
    <row r="66" ht="15.75" customHeight="1" s="77"/>
    <row r="67" ht="15.75" customHeight="1" s="77"/>
    <row r="68" ht="15.75" customHeight="1" s="77"/>
    <row r="69" ht="15.75" customHeight="1" s="77"/>
    <row r="70" ht="15.75" customHeight="1" s="77"/>
    <row r="71" ht="15.75" customHeight="1" s="77"/>
    <row r="72" ht="15.75" customHeight="1" s="77"/>
    <row r="73" ht="15.75" customHeight="1" s="77"/>
    <row r="74" ht="15.75" customHeight="1" s="77"/>
    <row r="75" ht="15.75" customHeight="1" s="77"/>
    <row r="76" ht="15.75" customHeight="1" s="77"/>
    <row r="77" ht="15.75" customHeight="1" s="77"/>
    <row r="78" ht="15.75" customHeight="1" s="77"/>
    <row r="79" ht="15.75" customHeight="1" s="77"/>
    <row r="80" ht="15.75" customHeight="1" s="77"/>
    <row r="81" ht="15.75" customHeight="1" s="77"/>
    <row r="82" ht="15.75" customHeight="1" s="77"/>
    <row r="83" ht="15.75" customHeight="1" s="77"/>
    <row r="84" ht="15.75" customHeight="1" s="77"/>
    <row r="85" ht="15.75" customHeight="1" s="77"/>
    <row r="86" ht="15.75" customHeight="1" s="77"/>
    <row r="87" ht="15.75" customHeight="1" s="77"/>
    <row r="88" ht="15.75" customHeight="1" s="77"/>
    <row r="89" ht="15.75" customHeight="1" s="77"/>
    <row r="90" ht="15.75" customHeight="1" s="77"/>
    <row r="91" ht="15.75" customHeight="1" s="77"/>
    <row r="92" ht="15.75" customHeight="1" s="77"/>
    <row r="93" ht="15.75" customHeight="1" s="77"/>
    <row r="94" ht="15.75" customHeight="1" s="77"/>
    <row r="95" ht="15.75" customHeight="1" s="77"/>
    <row r="96" ht="15.75" customHeight="1" s="77"/>
    <row r="97" ht="15.75" customHeight="1" s="77"/>
    <row r="98" ht="15.75" customHeight="1" s="77"/>
    <row r="99" ht="15.75" customHeight="1" s="77"/>
    <row r="100" ht="15.75" customHeight="1" s="77"/>
    <row r="101" ht="15.75" customHeight="1" s="77"/>
    <row r="102" ht="15.75" customHeight="1" s="77"/>
    <row r="103" ht="15.75" customHeight="1" s="77"/>
    <row r="104" ht="15.75" customHeight="1" s="77"/>
    <row r="105" ht="15.75" customHeight="1" s="77"/>
    <row r="106" ht="15.75" customHeight="1" s="77"/>
    <row r="107" ht="15.75" customHeight="1" s="77"/>
    <row r="108" ht="15.75" customHeight="1" s="77"/>
    <row r="109" ht="15.75" customHeight="1" s="77"/>
    <row r="110" ht="15.75" customHeight="1" s="77"/>
    <row r="111" ht="15.75" customHeight="1" s="77"/>
    <row r="112" ht="15.75" customHeight="1" s="77"/>
    <row r="113" ht="15.75" customHeight="1" s="77"/>
    <row r="114" ht="15.75" customHeight="1" s="77"/>
    <row r="115" ht="15.75" customHeight="1" s="77"/>
    <row r="116" ht="15.75" customHeight="1" s="77"/>
    <row r="117" ht="15.75" customHeight="1" s="77"/>
    <row r="118" ht="15.75" customHeight="1" s="77"/>
    <row r="119" ht="15.75" customHeight="1" s="77"/>
    <row r="120" ht="15.75" customHeight="1" s="77"/>
    <row r="121" ht="15.75" customHeight="1" s="77"/>
    <row r="122" ht="15.75" customHeight="1" s="77"/>
    <row r="123" ht="15.75" customHeight="1" s="77"/>
    <row r="124" ht="15.75" customHeight="1" s="77"/>
    <row r="125" ht="15.75" customHeight="1" s="77"/>
    <row r="126" ht="15.75" customHeight="1" s="77"/>
    <row r="127" ht="15.75" customHeight="1" s="77"/>
    <row r="128" ht="15.75" customHeight="1" s="77"/>
    <row r="129" ht="15.75" customHeight="1" s="77"/>
    <row r="130" ht="15.75" customHeight="1" s="77"/>
    <row r="131" ht="15.75" customHeight="1" s="77"/>
    <row r="132" ht="15.75" customHeight="1" s="77"/>
    <row r="133" ht="15.75" customHeight="1" s="77"/>
    <row r="134" ht="15.75" customHeight="1" s="77"/>
    <row r="135" ht="15.75" customHeight="1" s="77"/>
    <row r="136" ht="15.75" customHeight="1" s="77"/>
    <row r="137" ht="15.75" customHeight="1" s="77"/>
    <row r="138" ht="15.75" customHeight="1" s="77"/>
    <row r="139" ht="15.75" customHeight="1" s="77"/>
    <row r="140" ht="15.75" customHeight="1" s="77"/>
    <row r="141" ht="15.75" customHeight="1" s="77"/>
    <row r="142" ht="15.75" customHeight="1" s="77"/>
    <row r="143" ht="15.75" customHeight="1" s="77"/>
    <row r="144" ht="15.75" customHeight="1" s="77"/>
    <row r="145" ht="15.75" customHeight="1" s="77"/>
    <row r="146" ht="15.75" customHeight="1" s="77"/>
    <row r="147" ht="15.75" customHeight="1" s="77"/>
    <row r="148" ht="15.75" customHeight="1" s="77"/>
    <row r="149" ht="15.75" customHeight="1" s="77"/>
    <row r="150" ht="15.75" customHeight="1" s="77"/>
    <row r="151" ht="15.75" customHeight="1" s="77"/>
    <row r="152" ht="15.75" customHeight="1" s="77"/>
    <row r="153" ht="15.75" customHeight="1" s="77"/>
    <row r="154" ht="15.75" customHeight="1" s="77"/>
    <row r="155" ht="15.75" customHeight="1" s="77"/>
    <row r="156" ht="15.75" customHeight="1" s="77"/>
    <row r="157" ht="15.75" customHeight="1" s="77"/>
    <row r="158" ht="15.75" customHeight="1" s="77"/>
    <row r="159" ht="15.75" customHeight="1" s="77"/>
    <row r="160" ht="15.75" customHeight="1" s="77"/>
    <row r="161" ht="15.75" customHeight="1" s="77"/>
    <row r="162" ht="15.75" customHeight="1" s="77"/>
    <row r="163" ht="15.75" customHeight="1" s="77"/>
    <row r="164" ht="15.75" customHeight="1" s="77"/>
    <row r="165" ht="15.75" customHeight="1" s="77"/>
    <row r="166" ht="15.75" customHeight="1" s="77"/>
    <row r="167" ht="15.75" customHeight="1" s="77"/>
    <row r="168" ht="15.75" customHeight="1" s="77"/>
    <row r="169" ht="15.75" customHeight="1" s="77"/>
    <row r="170" ht="15.75" customHeight="1" s="77"/>
    <row r="171" ht="15.75" customHeight="1" s="77"/>
    <row r="172" ht="15.75" customHeight="1" s="77"/>
    <row r="173" ht="15.75" customHeight="1" s="77"/>
    <row r="174" ht="15.75" customHeight="1" s="77"/>
    <row r="175" ht="15.75" customHeight="1" s="77"/>
    <row r="176" ht="15.75" customHeight="1" s="77"/>
    <row r="177" ht="15.75" customHeight="1" s="77"/>
    <row r="178" ht="15.75" customHeight="1" s="77"/>
    <row r="179" ht="15.75" customHeight="1" s="77"/>
    <row r="180" ht="15.75" customHeight="1" s="77"/>
    <row r="181" ht="15.75" customHeight="1" s="77"/>
    <row r="182" ht="15.75" customHeight="1" s="77"/>
    <row r="183" ht="15.75" customHeight="1" s="77"/>
    <row r="184" ht="15.75" customHeight="1" s="77"/>
    <row r="185" ht="15.75" customHeight="1" s="77"/>
    <row r="186" ht="15.75" customHeight="1" s="77"/>
    <row r="187" ht="15.75" customHeight="1" s="77"/>
    <row r="188" ht="15.75" customHeight="1" s="77"/>
    <row r="189" ht="15.75" customHeight="1" s="77"/>
    <row r="190" ht="15.75" customHeight="1" s="77"/>
    <row r="191" ht="15.75" customHeight="1" s="77"/>
    <row r="192" ht="15.75" customHeight="1" s="77"/>
    <row r="193" ht="15.75" customHeight="1" s="77"/>
    <row r="194" ht="15.75" customHeight="1" s="77"/>
    <row r="195" ht="15.75" customHeight="1" s="77"/>
    <row r="196" ht="15.75" customHeight="1" s="77"/>
    <row r="197" ht="15.75" customHeight="1" s="77"/>
    <row r="198" ht="15.75" customHeight="1" s="77"/>
    <row r="199" ht="15.75" customHeight="1" s="77"/>
    <row r="200" ht="15.75" customHeight="1" s="77"/>
    <row r="201" ht="15.75" customHeight="1" s="77"/>
    <row r="202" ht="15.75" customHeight="1" s="77"/>
    <row r="203" ht="15.75" customHeight="1" s="77"/>
    <row r="204" ht="15.75" customHeight="1" s="77"/>
    <row r="205" ht="15.75" customHeight="1" s="77"/>
    <row r="206" ht="15.75" customHeight="1" s="77"/>
    <row r="207" ht="15.75" customHeight="1" s="77"/>
    <row r="208" ht="15.75" customHeight="1" s="77"/>
    <row r="209" ht="15.75" customHeight="1" s="77"/>
    <row r="210" ht="15.75" customHeight="1" s="77"/>
    <row r="211" ht="15.75" customHeight="1" s="77"/>
    <row r="212" ht="15.75" customHeight="1" s="77"/>
    <row r="213" ht="15.75" customHeight="1" s="77"/>
    <row r="214" ht="15.75" customHeight="1" s="77"/>
    <row r="215" ht="15.75" customHeight="1" s="77"/>
    <row r="216" ht="15.75" customHeight="1" s="77"/>
    <row r="217" ht="15.75" customHeight="1" s="77"/>
    <row r="218" ht="15.75" customHeight="1" s="77"/>
    <row r="219" ht="15.75" customHeight="1" s="77"/>
    <row r="220" ht="15.75" customHeight="1" s="77"/>
    <row r="221" ht="15.75" customHeight="1" s="77"/>
    <row r="222" ht="15.75" customHeight="1" s="77"/>
    <row r="223" ht="15.75" customHeight="1" s="77"/>
    <row r="224" ht="15.75" customHeight="1" s="77"/>
    <row r="225" ht="15.75" customHeight="1" s="77"/>
    <row r="226" ht="15.75" customHeight="1" s="77"/>
    <row r="227" ht="15.75" customHeight="1" s="77"/>
    <row r="228" ht="15.75" customHeight="1" s="77"/>
    <row r="229" ht="15.75" customHeight="1" s="77"/>
    <row r="230" ht="15.75" customHeight="1" s="77"/>
    <row r="231" ht="15.75" customHeight="1" s="77"/>
    <row r="232" ht="15.75" customHeight="1" s="77"/>
    <row r="233" ht="15.75" customHeight="1" s="77"/>
    <row r="234" ht="15.75" customHeight="1" s="77"/>
    <row r="235" ht="15.75" customHeight="1" s="77"/>
    <row r="236" ht="15.75" customHeight="1" s="77"/>
    <row r="237" ht="15.75" customHeight="1" s="77"/>
    <row r="238" ht="15.75" customHeight="1" s="77"/>
    <row r="239" ht="15.75" customHeight="1" s="77"/>
    <row r="240" ht="15.75" customHeight="1" s="77"/>
    <row r="241" ht="15.75" customHeight="1" s="77"/>
    <row r="242" ht="15.75" customHeight="1" s="77"/>
    <row r="243" ht="15.75" customHeight="1" s="77"/>
    <row r="244" ht="15.75" customHeight="1" s="77"/>
    <row r="245" ht="15.75" customHeight="1" s="77"/>
    <row r="246" ht="15.75" customHeight="1" s="77"/>
    <row r="247" ht="15.75" customHeight="1" s="77"/>
    <row r="248" ht="15.75" customHeight="1" s="77"/>
    <row r="249" ht="15.75" customHeight="1" s="77"/>
    <row r="250" ht="15.75" customHeight="1" s="77"/>
    <row r="251" ht="15.75" customHeight="1" s="77"/>
    <row r="252" ht="15.75" customHeight="1" s="77"/>
    <row r="253" ht="15.75" customHeight="1" s="77"/>
    <row r="254" ht="15.75" customHeight="1" s="77"/>
    <row r="255" ht="15.75" customHeight="1" s="77"/>
    <row r="256" ht="15.75" customHeight="1" s="77"/>
    <row r="257" ht="15.75" customHeight="1" s="77"/>
    <row r="258" ht="15.75" customHeight="1" s="77"/>
    <row r="259" ht="15.75" customHeight="1" s="77"/>
    <row r="260" ht="15.75" customHeight="1" s="77"/>
    <row r="261" ht="15.75" customHeight="1" s="77"/>
    <row r="262" ht="15.75" customHeight="1" s="77"/>
    <row r="263" ht="15.75" customHeight="1" s="77"/>
    <row r="264" ht="15.75" customHeight="1" s="77"/>
    <row r="265" ht="15.75" customHeight="1" s="77"/>
    <row r="266" ht="15.75" customHeight="1" s="77"/>
    <row r="267" ht="15.75" customHeight="1" s="77"/>
    <row r="268" ht="15.75" customHeight="1" s="77"/>
    <row r="269" ht="15.75" customHeight="1" s="77"/>
    <row r="270" ht="15.75" customHeight="1" s="77"/>
    <row r="271" ht="15.75" customHeight="1" s="77"/>
    <row r="272" ht="15.75" customHeight="1" s="77"/>
    <row r="273" ht="15.75" customHeight="1" s="77"/>
    <row r="274" ht="15.75" customHeight="1" s="77"/>
    <row r="275" ht="15.75" customHeight="1" s="77"/>
    <row r="276" ht="15.75" customHeight="1" s="77"/>
    <row r="277" ht="15.75" customHeight="1" s="77"/>
    <row r="278" ht="15.75" customHeight="1" s="77"/>
    <row r="279" ht="15.75" customHeight="1" s="77"/>
    <row r="280" ht="15.75" customHeight="1" s="77"/>
    <row r="281" ht="15.75" customHeight="1" s="77"/>
    <row r="282" ht="15.75" customHeight="1" s="77"/>
    <row r="283" ht="15.75" customHeight="1" s="77"/>
    <row r="284" ht="15.75" customHeight="1" s="77"/>
    <row r="285" ht="15.75" customHeight="1" s="77"/>
    <row r="286" ht="15.75" customHeight="1" s="77"/>
    <row r="287" ht="15.75" customHeight="1" s="77"/>
    <row r="288" ht="15.75" customHeight="1" s="77"/>
    <row r="289" ht="15.75" customHeight="1" s="77"/>
    <row r="290" ht="15.75" customHeight="1" s="77"/>
    <row r="291" ht="15.75" customHeight="1" s="77"/>
    <row r="292" ht="15.75" customHeight="1" s="77"/>
    <row r="293" ht="15.75" customHeight="1" s="77"/>
    <row r="294" ht="15.75" customHeight="1" s="77"/>
    <row r="295" ht="15.75" customHeight="1" s="77"/>
    <row r="296" ht="15.75" customHeight="1" s="77"/>
    <row r="297" ht="15.75" customHeight="1" s="77"/>
    <row r="298" ht="15.75" customHeight="1" s="77"/>
    <row r="299" ht="15.75" customHeight="1" s="77"/>
    <row r="300" ht="15.75" customHeight="1" s="77"/>
    <row r="301" ht="15.75" customHeight="1" s="77"/>
    <row r="302" ht="15.75" customHeight="1" s="77"/>
    <row r="303" ht="15.75" customHeight="1" s="77"/>
    <row r="304" ht="15.75" customHeight="1" s="77"/>
    <row r="305" ht="15.75" customHeight="1" s="77"/>
    <row r="306" ht="15.75" customHeight="1" s="77"/>
    <row r="307" ht="15.75" customHeight="1" s="77"/>
    <row r="308" ht="15.75" customHeight="1" s="77"/>
    <row r="309" ht="15.75" customHeight="1" s="77"/>
    <row r="310" ht="15.75" customHeight="1" s="77"/>
    <row r="311" ht="15.75" customHeight="1" s="77"/>
    <row r="312" ht="15.75" customHeight="1" s="77"/>
    <row r="313" ht="15.75" customHeight="1" s="77"/>
    <row r="314" ht="15.75" customHeight="1" s="77"/>
    <row r="315" ht="15.75" customHeight="1" s="77"/>
    <row r="316" ht="15.75" customHeight="1" s="77"/>
    <row r="317" ht="15.75" customHeight="1" s="77"/>
    <row r="318" ht="15.75" customHeight="1" s="77"/>
    <row r="319" ht="15.75" customHeight="1" s="77"/>
    <row r="320" ht="15.75" customHeight="1" s="77"/>
    <row r="321" ht="15.75" customHeight="1" s="77"/>
    <row r="322" ht="15.75" customHeight="1" s="77"/>
    <row r="323" ht="15.75" customHeight="1" s="77"/>
    <row r="324" ht="15.75" customHeight="1" s="77"/>
    <row r="325" ht="15.75" customHeight="1" s="77"/>
    <row r="326" ht="15.75" customHeight="1" s="77"/>
    <row r="327" ht="15.75" customHeight="1" s="77"/>
    <row r="328" ht="15.75" customHeight="1" s="77"/>
    <row r="329" ht="15.75" customHeight="1" s="77"/>
    <row r="330" ht="15.75" customHeight="1" s="77"/>
    <row r="331" ht="15.75" customHeight="1" s="77"/>
    <row r="332" ht="15.75" customHeight="1" s="77"/>
    <row r="333" ht="15.75" customHeight="1" s="77"/>
    <row r="334" ht="15.75" customHeight="1" s="77"/>
    <row r="335" ht="15.75" customHeight="1" s="77"/>
    <row r="336" ht="15.75" customHeight="1" s="77"/>
    <row r="337" ht="15.75" customHeight="1" s="77"/>
    <row r="338" ht="15.75" customHeight="1" s="77"/>
    <row r="339" ht="15.75" customHeight="1" s="77"/>
    <row r="340" ht="15.75" customHeight="1" s="77"/>
    <row r="341" ht="15.75" customHeight="1" s="77"/>
    <row r="342" ht="15.75" customHeight="1" s="77"/>
    <row r="343" ht="15.75" customHeight="1" s="77"/>
    <row r="344" ht="15.75" customHeight="1" s="77"/>
    <row r="345" ht="15.75" customHeight="1" s="77"/>
    <row r="346" ht="15.75" customHeight="1" s="77"/>
    <row r="347" ht="15.75" customHeight="1" s="77"/>
    <row r="348" ht="15.75" customHeight="1" s="77"/>
    <row r="349" ht="15.75" customHeight="1" s="77"/>
    <row r="350" ht="15.75" customHeight="1" s="77"/>
    <row r="351" ht="15.75" customHeight="1" s="77"/>
    <row r="352" ht="15.75" customHeight="1" s="77"/>
    <row r="353" ht="15.75" customHeight="1" s="77"/>
    <row r="354" ht="15.75" customHeight="1" s="77"/>
    <row r="355" ht="15.75" customHeight="1" s="77"/>
    <row r="356" ht="15.75" customHeight="1" s="77"/>
    <row r="357" ht="15.75" customHeight="1" s="77"/>
    <row r="358" ht="15.75" customHeight="1" s="77"/>
    <row r="359" ht="15.75" customHeight="1" s="77"/>
    <row r="360" ht="15.75" customHeight="1" s="77"/>
    <row r="361" ht="15.75" customHeight="1" s="77"/>
    <row r="362" ht="15.75" customHeight="1" s="77"/>
    <row r="363" ht="15.75" customHeight="1" s="77"/>
    <row r="364" ht="15.75" customHeight="1" s="77"/>
    <row r="365" ht="15.75" customHeight="1" s="77"/>
    <row r="366" ht="15.75" customHeight="1" s="77"/>
    <row r="367" ht="15.75" customHeight="1" s="77"/>
    <row r="368" ht="15.75" customHeight="1" s="77"/>
    <row r="369" ht="15.75" customHeight="1" s="77"/>
    <row r="370" ht="15.75" customHeight="1" s="77"/>
    <row r="371" ht="15.75" customHeight="1" s="77"/>
    <row r="372" ht="15.75" customHeight="1" s="77"/>
    <row r="373" ht="15.75" customHeight="1" s="77"/>
    <row r="374" ht="15.75" customHeight="1" s="77"/>
    <row r="375" ht="15.75" customHeight="1" s="77"/>
    <row r="376" ht="15.75" customHeight="1" s="77"/>
    <row r="377" ht="15.75" customHeight="1" s="77"/>
    <row r="378" ht="15.75" customHeight="1" s="77"/>
    <row r="379" ht="15.75" customHeight="1" s="77"/>
    <row r="380" ht="15.75" customHeight="1" s="77"/>
    <row r="381" ht="15.75" customHeight="1" s="77"/>
    <row r="382" ht="15.75" customHeight="1" s="77"/>
    <row r="383" ht="15.75" customHeight="1" s="77"/>
    <row r="384" ht="15.75" customHeight="1" s="77"/>
    <row r="385" ht="15.75" customHeight="1" s="77"/>
    <row r="386" ht="15.75" customHeight="1" s="77"/>
    <row r="387" ht="15.75" customHeight="1" s="77"/>
    <row r="388" ht="15.75" customHeight="1" s="77"/>
    <row r="389" ht="15.75" customHeight="1" s="77"/>
    <row r="390" ht="15.75" customHeight="1" s="77"/>
    <row r="391" ht="15.75" customHeight="1" s="77"/>
    <row r="392" ht="15.75" customHeight="1" s="77"/>
    <row r="393" ht="15.75" customHeight="1" s="77"/>
    <row r="394" ht="15.75" customHeight="1" s="77"/>
    <row r="395" ht="15.75" customHeight="1" s="77"/>
    <row r="396" ht="15.75" customHeight="1" s="77"/>
    <row r="397" ht="15.75" customHeight="1" s="77"/>
    <row r="398" ht="15.75" customHeight="1" s="77"/>
    <row r="399" ht="15.75" customHeight="1" s="77"/>
    <row r="400" ht="15.75" customHeight="1" s="77"/>
    <row r="401" ht="15.75" customHeight="1" s="77"/>
    <row r="402" ht="15.75" customHeight="1" s="77"/>
    <row r="403" ht="15.75" customHeight="1" s="77"/>
    <row r="404" ht="15.75" customHeight="1" s="77"/>
    <row r="405" ht="15.75" customHeight="1" s="77"/>
    <row r="406" ht="15.75" customHeight="1" s="77"/>
    <row r="407" ht="15.75" customHeight="1" s="77"/>
    <row r="408" ht="15.75" customHeight="1" s="77"/>
    <row r="409" ht="15.75" customHeight="1" s="77"/>
    <row r="410" ht="15.75" customHeight="1" s="77"/>
    <row r="411" ht="15.75" customHeight="1" s="77"/>
    <row r="412" ht="15.75" customHeight="1" s="77"/>
    <row r="413" ht="15.75" customHeight="1" s="77"/>
    <row r="414" ht="15.75" customHeight="1" s="77"/>
    <row r="415" ht="15.75" customHeight="1" s="77"/>
    <row r="416" ht="15.75" customHeight="1" s="77"/>
    <row r="417" ht="15.75" customHeight="1" s="77"/>
    <row r="418" ht="15.75" customHeight="1" s="77"/>
    <row r="419" ht="15.75" customHeight="1" s="77"/>
    <row r="420" ht="15.75" customHeight="1" s="77"/>
    <row r="421" ht="15.75" customHeight="1" s="77"/>
    <row r="422" ht="15.75" customHeight="1" s="77"/>
    <row r="423" ht="15.75" customHeight="1" s="77"/>
    <row r="424" ht="15.75" customHeight="1" s="77"/>
    <row r="425" ht="15.75" customHeight="1" s="77"/>
    <row r="426" ht="15.75" customHeight="1" s="77"/>
    <row r="427" ht="15.75" customHeight="1" s="77"/>
    <row r="428" ht="15.75" customHeight="1" s="77"/>
    <row r="429" ht="15.75" customHeight="1" s="77"/>
    <row r="430" ht="15.75" customHeight="1" s="77"/>
    <row r="431" ht="15.75" customHeight="1" s="77"/>
    <row r="432" ht="15.75" customHeight="1" s="77"/>
    <row r="433" ht="15.75" customHeight="1" s="77"/>
    <row r="434" ht="15.75" customHeight="1" s="77"/>
    <row r="435" ht="15.75" customHeight="1" s="77"/>
    <row r="436" ht="15.75" customHeight="1" s="77"/>
    <row r="437" ht="15.75" customHeight="1" s="77"/>
    <row r="438" ht="15.75" customHeight="1" s="77"/>
    <row r="439" ht="15.75" customHeight="1" s="77"/>
    <row r="440" ht="15.75" customHeight="1" s="77"/>
    <row r="441" ht="15.75" customHeight="1" s="77"/>
    <row r="442" ht="15.75" customHeight="1" s="77"/>
    <row r="443" ht="15.75" customHeight="1" s="77"/>
    <row r="444" ht="15.75" customHeight="1" s="77"/>
    <row r="445" ht="15.75" customHeight="1" s="77"/>
    <row r="446" ht="15.75" customHeight="1" s="77"/>
    <row r="447" ht="15.75" customHeight="1" s="77"/>
    <row r="448" ht="15.75" customHeight="1" s="77"/>
    <row r="449" ht="15.75" customHeight="1" s="77"/>
    <row r="450" ht="15.75" customHeight="1" s="77"/>
    <row r="451" ht="15.75" customHeight="1" s="77"/>
    <row r="452" ht="15.75" customHeight="1" s="77"/>
    <row r="453" ht="15.75" customHeight="1" s="77"/>
    <row r="454" ht="15.75" customHeight="1" s="77"/>
    <row r="455" ht="15.75" customHeight="1" s="77"/>
    <row r="456" ht="15.75" customHeight="1" s="77"/>
    <row r="457" ht="15.75" customHeight="1" s="77"/>
    <row r="458" ht="15.75" customHeight="1" s="77"/>
    <row r="459" ht="15.75" customHeight="1" s="77"/>
    <row r="460" ht="15.75" customHeight="1" s="77"/>
    <row r="461" ht="15.75" customHeight="1" s="77"/>
    <row r="462" ht="15.75" customHeight="1" s="77"/>
    <row r="463" ht="15.75" customHeight="1" s="77"/>
    <row r="464" ht="15.75" customHeight="1" s="77"/>
    <row r="465" ht="15.75" customHeight="1" s="77"/>
    <row r="466" ht="15.75" customHeight="1" s="77"/>
    <row r="467" ht="15.75" customHeight="1" s="77"/>
    <row r="468" ht="15.75" customHeight="1" s="77"/>
    <row r="469" ht="15.75" customHeight="1" s="77"/>
    <row r="470" ht="15.75" customHeight="1" s="77"/>
    <row r="471" ht="15.75" customHeight="1" s="77"/>
    <row r="472" ht="15.75" customHeight="1" s="77"/>
    <row r="473" ht="15.75" customHeight="1" s="77"/>
    <row r="474" ht="15.75" customHeight="1" s="77"/>
    <row r="475" ht="15.75" customHeight="1" s="77"/>
    <row r="476" ht="15.75" customHeight="1" s="77"/>
    <row r="477" ht="15.75" customHeight="1" s="77"/>
    <row r="478" ht="15.75" customHeight="1" s="77"/>
    <row r="479" ht="15.75" customHeight="1" s="77"/>
    <row r="480" ht="15.75" customHeight="1" s="77"/>
    <row r="481" ht="15.75" customHeight="1" s="77"/>
    <row r="482" ht="15.75" customHeight="1" s="77"/>
    <row r="483" ht="15.75" customHeight="1" s="77"/>
    <row r="484" ht="15.75" customHeight="1" s="77"/>
    <row r="485" ht="15.75" customHeight="1" s="77"/>
    <row r="486" ht="15.75" customHeight="1" s="77"/>
    <row r="487" ht="15.75" customHeight="1" s="77"/>
    <row r="488" ht="15.75" customHeight="1" s="77"/>
    <row r="489" ht="15.75" customHeight="1" s="77"/>
    <row r="490" ht="15.75" customHeight="1" s="77"/>
    <row r="491" ht="15.75" customHeight="1" s="77"/>
    <row r="492" ht="15.75" customHeight="1" s="77"/>
    <row r="493" ht="15.75" customHeight="1" s="77"/>
    <row r="494" ht="15.75" customHeight="1" s="77"/>
    <row r="495" ht="15.75" customHeight="1" s="77"/>
    <row r="496" ht="15.75" customHeight="1" s="77"/>
    <row r="497" ht="15.75" customHeight="1" s="77"/>
    <row r="498" ht="15.75" customHeight="1" s="77"/>
    <row r="499" ht="15.75" customHeight="1" s="77"/>
    <row r="500" ht="15.75" customHeight="1" s="77"/>
    <row r="501" ht="15.75" customHeight="1" s="77"/>
    <row r="502" ht="15.75" customHeight="1" s="77"/>
    <row r="503" ht="15.75" customHeight="1" s="77"/>
    <row r="504" ht="15.75" customHeight="1" s="77"/>
    <row r="505" ht="15.75" customHeight="1" s="77"/>
    <row r="506" ht="15.75" customHeight="1" s="77"/>
    <row r="507" ht="15.75" customHeight="1" s="77"/>
    <row r="508" ht="15.75" customHeight="1" s="77"/>
    <row r="509" ht="15.75" customHeight="1" s="77"/>
    <row r="510" ht="15.75" customHeight="1" s="77"/>
    <row r="511" ht="15.75" customHeight="1" s="77"/>
    <row r="512" ht="15.75" customHeight="1" s="77"/>
    <row r="513" ht="15.75" customHeight="1" s="77"/>
    <row r="514" ht="15.75" customHeight="1" s="77"/>
    <row r="515" ht="15.75" customHeight="1" s="77"/>
    <row r="516" ht="15.75" customHeight="1" s="77"/>
    <row r="517" ht="15.75" customHeight="1" s="77"/>
    <row r="518" ht="15.75" customHeight="1" s="77"/>
    <row r="519" ht="15.75" customHeight="1" s="77"/>
    <row r="520" ht="15.75" customHeight="1" s="77"/>
    <row r="521" ht="15.75" customHeight="1" s="77"/>
    <row r="522" ht="15.75" customHeight="1" s="77"/>
    <row r="523" ht="15.75" customHeight="1" s="77"/>
    <row r="524" ht="15.75" customHeight="1" s="77"/>
    <row r="525" ht="15.75" customHeight="1" s="77"/>
    <row r="526" ht="15.75" customHeight="1" s="77"/>
    <row r="527" ht="15.75" customHeight="1" s="77"/>
    <row r="528" ht="15.75" customHeight="1" s="77"/>
    <row r="529" ht="15.75" customHeight="1" s="77"/>
    <row r="530" ht="15.75" customHeight="1" s="77"/>
    <row r="531" ht="15.75" customHeight="1" s="77"/>
    <row r="532" ht="15.75" customHeight="1" s="77"/>
    <row r="533" ht="15.75" customHeight="1" s="77"/>
    <row r="534" ht="15.75" customHeight="1" s="77"/>
    <row r="535" ht="15.75" customHeight="1" s="77"/>
    <row r="536" ht="15.75" customHeight="1" s="77"/>
    <row r="537" ht="15.75" customHeight="1" s="77"/>
    <row r="538" ht="15.75" customHeight="1" s="77"/>
    <row r="539" ht="15.75" customHeight="1" s="77"/>
    <row r="540" ht="15.75" customHeight="1" s="77"/>
    <row r="541" ht="15.75" customHeight="1" s="77"/>
    <row r="542" ht="15.75" customHeight="1" s="77"/>
    <row r="543" ht="15.75" customHeight="1" s="77"/>
    <row r="544" ht="15.75" customHeight="1" s="77"/>
    <row r="545" ht="15.75" customHeight="1" s="77"/>
    <row r="546" ht="15.75" customHeight="1" s="77"/>
    <row r="547" ht="15.75" customHeight="1" s="77"/>
    <row r="548" ht="15.75" customHeight="1" s="77"/>
    <row r="549" ht="15.75" customHeight="1" s="77"/>
    <row r="550" ht="15.75" customHeight="1" s="77"/>
    <row r="551" ht="15.75" customHeight="1" s="77"/>
    <row r="552" ht="15.75" customHeight="1" s="77"/>
    <row r="553" ht="15.75" customHeight="1" s="77"/>
    <row r="554" ht="15.75" customHeight="1" s="77"/>
    <row r="555" ht="15.75" customHeight="1" s="77"/>
    <row r="556" ht="15.75" customHeight="1" s="77"/>
    <row r="557" ht="15.75" customHeight="1" s="77"/>
    <row r="558" ht="15.75" customHeight="1" s="77"/>
    <row r="559" ht="15.75" customHeight="1" s="77"/>
    <row r="560" ht="15.75" customHeight="1" s="77"/>
    <row r="561" ht="15.75" customHeight="1" s="77"/>
    <row r="562" ht="15.75" customHeight="1" s="77"/>
    <row r="563" ht="15.75" customHeight="1" s="77"/>
    <row r="564" ht="15.75" customHeight="1" s="77"/>
    <row r="565" ht="15.75" customHeight="1" s="77"/>
    <row r="566" ht="15.75" customHeight="1" s="77"/>
    <row r="567" ht="15.75" customHeight="1" s="77"/>
    <row r="568" ht="15.75" customHeight="1" s="77"/>
    <row r="569" ht="15.75" customHeight="1" s="77"/>
    <row r="570" ht="15.75" customHeight="1" s="77"/>
    <row r="571" ht="15.75" customHeight="1" s="77"/>
    <row r="572" ht="15.75" customHeight="1" s="77"/>
    <row r="573" ht="15.75" customHeight="1" s="77"/>
    <row r="574" ht="15.75" customHeight="1" s="77"/>
    <row r="575" ht="15.75" customHeight="1" s="77"/>
    <row r="576" ht="15.75" customHeight="1" s="77"/>
    <row r="577" ht="15.75" customHeight="1" s="77"/>
    <row r="578" ht="15.75" customHeight="1" s="77"/>
    <row r="579" ht="15.75" customHeight="1" s="77"/>
    <row r="580" ht="15.75" customHeight="1" s="77"/>
    <row r="581" ht="15.75" customHeight="1" s="77"/>
    <row r="582" ht="15.75" customHeight="1" s="77"/>
    <row r="583" ht="15.75" customHeight="1" s="77"/>
    <row r="584" ht="15.75" customHeight="1" s="77"/>
    <row r="585" ht="15.75" customHeight="1" s="77"/>
    <row r="586" ht="15.75" customHeight="1" s="77"/>
    <row r="587" ht="15.75" customHeight="1" s="77"/>
    <row r="588" ht="15.75" customHeight="1" s="77"/>
    <row r="589" ht="15.75" customHeight="1" s="77"/>
    <row r="590" ht="15.75" customHeight="1" s="77"/>
    <row r="591" ht="15.75" customHeight="1" s="77"/>
    <row r="592" ht="15.75" customHeight="1" s="77"/>
    <row r="593" ht="15.75" customHeight="1" s="77"/>
    <row r="594" ht="15.75" customHeight="1" s="77"/>
    <row r="595" ht="15.75" customHeight="1" s="77"/>
    <row r="596" ht="15.75" customHeight="1" s="77"/>
    <row r="597" ht="15.75" customHeight="1" s="77"/>
    <row r="598" ht="15.75" customHeight="1" s="77"/>
    <row r="599" ht="15.75" customHeight="1" s="77"/>
    <row r="600" ht="15.75" customHeight="1" s="77"/>
    <row r="601" ht="15.75" customHeight="1" s="77"/>
    <row r="602" ht="15.75" customHeight="1" s="77"/>
    <row r="603" ht="15.75" customHeight="1" s="77"/>
    <row r="604" ht="15.75" customHeight="1" s="77"/>
    <row r="605" ht="15.75" customHeight="1" s="77"/>
    <row r="606" ht="15.75" customHeight="1" s="77"/>
    <row r="607" ht="15.75" customHeight="1" s="77"/>
    <row r="608" ht="15.75" customHeight="1" s="77"/>
    <row r="609" ht="15.75" customHeight="1" s="77"/>
    <row r="610" ht="15.75" customHeight="1" s="77"/>
    <row r="611" ht="15.75" customHeight="1" s="77"/>
    <row r="612" ht="15.75" customHeight="1" s="77"/>
    <row r="613" ht="15.75" customHeight="1" s="77"/>
    <row r="614" ht="15.75" customHeight="1" s="77"/>
    <row r="615" ht="15.75" customHeight="1" s="77"/>
    <row r="616" ht="15.75" customHeight="1" s="77"/>
    <row r="617" ht="15.75" customHeight="1" s="77"/>
    <row r="618" ht="15.75" customHeight="1" s="77"/>
    <row r="619" ht="15.75" customHeight="1" s="77"/>
    <row r="620" ht="15.75" customHeight="1" s="77"/>
    <row r="621" ht="15.75" customHeight="1" s="77"/>
    <row r="622" ht="15.75" customHeight="1" s="77"/>
    <row r="623" ht="15.75" customHeight="1" s="77"/>
    <row r="624" ht="15.75" customHeight="1" s="77"/>
    <row r="625" ht="15.75" customHeight="1" s="77"/>
    <row r="626" ht="15.75" customHeight="1" s="77"/>
    <row r="627" ht="15.75" customHeight="1" s="77"/>
    <row r="628" ht="15.75" customHeight="1" s="77"/>
    <row r="629" ht="15.75" customHeight="1" s="77"/>
    <row r="630" ht="15.75" customHeight="1" s="77"/>
    <row r="631" ht="15.75" customHeight="1" s="77"/>
    <row r="632" ht="15.75" customHeight="1" s="77"/>
    <row r="633" ht="15.75" customHeight="1" s="77"/>
    <row r="634" ht="15.75" customHeight="1" s="77"/>
    <row r="635" ht="15.75" customHeight="1" s="77"/>
    <row r="636" ht="15.75" customHeight="1" s="77"/>
    <row r="637" ht="15.75" customHeight="1" s="77"/>
    <row r="638" ht="15.75" customHeight="1" s="77"/>
    <row r="639" ht="15.75" customHeight="1" s="77"/>
    <row r="640" ht="15.75" customHeight="1" s="77"/>
    <row r="641" ht="15.75" customHeight="1" s="77"/>
    <row r="642" ht="15.75" customHeight="1" s="77"/>
    <row r="643" ht="15.75" customHeight="1" s="77"/>
    <row r="644" ht="15.75" customHeight="1" s="77"/>
    <row r="645" ht="15.75" customHeight="1" s="77"/>
    <row r="646" ht="15.75" customHeight="1" s="77"/>
    <row r="647" ht="15.75" customHeight="1" s="77"/>
    <row r="648" ht="15.75" customHeight="1" s="77"/>
    <row r="649" ht="15.75" customHeight="1" s="77"/>
    <row r="650" ht="15.75" customHeight="1" s="77"/>
    <row r="651" ht="15.75" customHeight="1" s="77"/>
    <row r="652" ht="15.75" customHeight="1" s="77"/>
    <row r="653" ht="15.75" customHeight="1" s="77"/>
    <row r="654" ht="15.75" customHeight="1" s="77"/>
    <row r="655" ht="15.75" customHeight="1" s="77"/>
    <row r="656" ht="15.75" customHeight="1" s="77"/>
    <row r="657" ht="15.75" customHeight="1" s="77"/>
    <row r="658" ht="15.75" customHeight="1" s="77"/>
    <row r="659" ht="15.75" customHeight="1" s="77"/>
    <row r="660" ht="15.75" customHeight="1" s="77"/>
    <row r="661" ht="15.75" customHeight="1" s="77"/>
    <row r="662" ht="15.75" customHeight="1" s="77"/>
    <row r="663" ht="15.75" customHeight="1" s="77"/>
    <row r="664" ht="15.75" customHeight="1" s="77"/>
    <row r="665" ht="15.75" customHeight="1" s="77"/>
    <row r="666" ht="15.75" customHeight="1" s="77"/>
    <row r="667" ht="15.75" customHeight="1" s="77"/>
    <row r="668" ht="15.75" customHeight="1" s="77"/>
    <row r="669" ht="15.75" customHeight="1" s="77"/>
    <row r="670" ht="15.75" customHeight="1" s="77"/>
    <row r="671" ht="15.75" customHeight="1" s="77"/>
    <row r="672" ht="15.75" customHeight="1" s="77"/>
    <row r="673" ht="15.75" customHeight="1" s="77"/>
    <row r="674" ht="15.75" customHeight="1" s="77"/>
    <row r="675" ht="15.75" customHeight="1" s="77"/>
    <row r="676" ht="15.75" customHeight="1" s="77"/>
    <row r="677" ht="15.75" customHeight="1" s="77"/>
    <row r="678" ht="15.75" customHeight="1" s="77"/>
    <row r="679" ht="15.75" customHeight="1" s="77"/>
    <row r="680" ht="15.75" customHeight="1" s="77"/>
    <row r="681" ht="15.75" customHeight="1" s="77"/>
    <row r="682" ht="15.75" customHeight="1" s="77"/>
    <row r="683" ht="15.75" customHeight="1" s="77"/>
    <row r="684" ht="15.75" customHeight="1" s="77"/>
    <row r="685" ht="15.75" customHeight="1" s="77"/>
    <row r="686" ht="15.75" customHeight="1" s="77"/>
    <row r="687" ht="15.75" customHeight="1" s="77"/>
    <row r="688" ht="15.75" customHeight="1" s="77"/>
    <row r="689" ht="15.75" customHeight="1" s="77"/>
    <row r="690" ht="15.75" customHeight="1" s="77"/>
    <row r="691" ht="15.75" customHeight="1" s="77"/>
    <row r="692" ht="15.75" customHeight="1" s="77"/>
    <row r="693" ht="15.75" customHeight="1" s="77"/>
    <row r="694" ht="15.75" customHeight="1" s="77"/>
    <row r="695" ht="15.75" customHeight="1" s="77"/>
    <row r="696" ht="15.75" customHeight="1" s="77"/>
    <row r="697" ht="15.75" customHeight="1" s="77"/>
    <row r="698" ht="15.75" customHeight="1" s="77"/>
    <row r="699" ht="15.75" customHeight="1" s="77"/>
    <row r="700" ht="15.75" customHeight="1" s="77"/>
    <row r="701" ht="15.75" customHeight="1" s="77"/>
    <row r="702" ht="15.75" customHeight="1" s="77"/>
    <row r="703" ht="15.75" customHeight="1" s="77"/>
    <row r="704" ht="15.75" customHeight="1" s="77"/>
    <row r="705" ht="15.75" customHeight="1" s="77"/>
    <row r="706" ht="15.75" customHeight="1" s="77"/>
    <row r="707" ht="15.75" customHeight="1" s="77"/>
    <row r="708" ht="15.75" customHeight="1" s="77"/>
    <row r="709" ht="15.75" customHeight="1" s="77"/>
    <row r="710" ht="15.75" customHeight="1" s="77"/>
    <row r="711" ht="15.75" customHeight="1" s="77"/>
    <row r="712" ht="15.75" customHeight="1" s="77"/>
    <row r="713" ht="15.75" customHeight="1" s="77"/>
    <row r="714" ht="15.75" customHeight="1" s="77"/>
    <row r="715" ht="15.75" customHeight="1" s="77"/>
    <row r="716" ht="15.75" customHeight="1" s="77"/>
    <row r="717" ht="15.75" customHeight="1" s="77"/>
    <row r="718" ht="15.75" customHeight="1" s="77"/>
    <row r="719" ht="15.75" customHeight="1" s="77"/>
    <row r="720" ht="15.75" customHeight="1" s="77"/>
    <row r="721" ht="15.75" customHeight="1" s="77"/>
    <row r="722" ht="15.75" customHeight="1" s="77"/>
    <row r="723" ht="15.75" customHeight="1" s="77"/>
    <row r="724" ht="15.75" customHeight="1" s="77"/>
    <row r="725" ht="15.75" customHeight="1" s="77"/>
    <row r="726" ht="15.75" customHeight="1" s="77"/>
    <row r="727" ht="15.75" customHeight="1" s="77"/>
    <row r="728" ht="15.75" customHeight="1" s="77"/>
    <row r="729" ht="15.75" customHeight="1" s="77"/>
    <row r="730" ht="15.75" customHeight="1" s="77"/>
    <row r="731" ht="15.75" customHeight="1" s="77"/>
    <row r="732" ht="15.75" customHeight="1" s="77"/>
    <row r="733" ht="15.75" customHeight="1" s="77"/>
    <row r="734" ht="15.75" customHeight="1" s="77"/>
    <row r="735" ht="15.75" customHeight="1" s="77"/>
    <row r="736" ht="15.75" customHeight="1" s="77"/>
    <row r="737" ht="15.75" customHeight="1" s="77"/>
    <row r="738" ht="15.75" customHeight="1" s="77"/>
    <row r="739" ht="15.75" customHeight="1" s="77"/>
    <row r="740" ht="15.75" customHeight="1" s="77"/>
    <row r="741" ht="15.75" customHeight="1" s="77"/>
    <row r="742" ht="15.75" customHeight="1" s="77"/>
    <row r="743" ht="15.75" customHeight="1" s="77"/>
    <row r="744" ht="15.75" customHeight="1" s="77"/>
    <row r="745" ht="15.75" customHeight="1" s="77"/>
    <row r="746" ht="15.75" customHeight="1" s="77"/>
    <row r="747" ht="15.75" customHeight="1" s="77"/>
    <row r="748" ht="15.75" customHeight="1" s="77"/>
    <row r="749" ht="15.75" customHeight="1" s="77"/>
    <row r="750" ht="15.75" customHeight="1" s="77"/>
    <row r="751" ht="15.75" customHeight="1" s="77"/>
    <row r="752" ht="15.75" customHeight="1" s="77"/>
    <row r="753" ht="15.75" customHeight="1" s="77"/>
    <row r="754" ht="15.75" customHeight="1" s="77"/>
    <row r="755" ht="15.75" customHeight="1" s="77"/>
    <row r="756" ht="15.75" customHeight="1" s="77"/>
    <row r="757" ht="15.75" customHeight="1" s="77"/>
    <row r="758" ht="15.75" customHeight="1" s="77"/>
    <row r="759" ht="15.75" customHeight="1" s="77"/>
    <row r="760" ht="15.75" customHeight="1" s="77"/>
    <row r="761" ht="15.75" customHeight="1" s="77"/>
    <row r="762" ht="15.75" customHeight="1" s="77"/>
    <row r="763" ht="15.75" customHeight="1" s="77"/>
    <row r="764" ht="15.75" customHeight="1" s="77"/>
    <row r="765" ht="15.75" customHeight="1" s="77"/>
    <row r="766" ht="15.75" customHeight="1" s="77"/>
    <row r="767" ht="15.75" customHeight="1" s="77"/>
    <row r="768" ht="15.75" customHeight="1" s="77"/>
    <row r="769" ht="15.75" customHeight="1" s="77"/>
    <row r="770" ht="15.75" customHeight="1" s="77"/>
    <row r="771" ht="15.75" customHeight="1" s="77"/>
    <row r="772" ht="15.75" customHeight="1" s="77"/>
    <row r="773" ht="15.75" customHeight="1" s="77"/>
    <row r="774" ht="15.75" customHeight="1" s="77"/>
    <row r="775" ht="15.75" customHeight="1" s="77"/>
    <row r="776" ht="15.75" customHeight="1" s="77"/>
    <row r="777" ht="15.75" customHeight="1" s="77"/>
    <row r="778" ht="15.75" customHeight="1" s="77"/>
    <row r="779" ht="15.75" customHeight="1" s="77"/>
    <row r="780" ht="15.75" customHeight="1" s="77"/>
    <row r="781" ht="15.75" customHeight="1" s="77"/>
    <row r="782" ht="15.75" customHeight="1" s="77"/>
    <row r="783" ht="15.75" customHeight="1" s="77"/>
    <row r="784" ht="15.75" customHeight="1" s="77"/>
    <row r="785" ht="15.75" customHeight="1" s="77"/>
    <row r="786" ht="15.75" customHeight="1" s="77"/>
    <row r="787" ht="15.75" customHeight="1" s="77"/>
    <row r="788" ht="15.75" customHeight="1" s="77"/>
    <row r="789" ht="15.75" customHeight="1" s="77"/>
    <row r="790" ht="15.75" customHeight="1" s="77"/>
    <row r="791" ht="15.75" customHeight="1" s="77"/>
    <row r="792" ht="15.75" customHeight="1" s="77"/>
    <row r="793" ht="15.75" customHeight="1" s="77"/>
    <row r="794" ht="15.75" customHeight="1" s="77"/>
    <row r="795" ht="15.75" customHeight="1" s="77"/>
    <row r="796" ht="15.75" customHeight="1" s="77"/>
    <row r="797" ht="15.75" customHeight="1" s="77"/>
    <row r="798" ht="15.75" customHeight="1" s="77"/>
    <row r="799" ht="15.75" customHeight="1" s="77"/>
    <row r="800" ht="15.75" customHeight="1" s="77"/>
    <row r="801" ht="15.75" customHeight="1" s="77"/>
    <row r="802" ht="15.75" customHeight="1" s="77"/>
    <row r="803" ht="15.75" customHeight="1" s="77"/>
    <row r="804" ht="15.75" customHeight="1" s="77"/>
    <row r="805" ht="15.75" customHeight="1" s="77"/>
    <row r="806" ht="15.75" customHeight="1" s="77"/>
    <row r="807" ht="15.75" customHeight="1" s="77"/>
    <row r="808" ht="15.75" customHeight="1" s="77"/>
    <row r="809" ht="15.75" customHeight="1" s="77"/>
    <row r="810" ht="15.75" customHeight="1" s="77"/>
    <row r="811" ht="15.75" customHeight="1" s="77"/>
    <row r="812" ht="15.75" customHeight="1" s="77"/>
    <row r="813" ht="15.75" customHeight="1" s="77"/>
    <row r="814" ht="15.75" customHeight="1" s="77"/>
    <row r="815" ht="15.75" customHeight="1" s="77"/>
    <row r="816" ht="15.75" customHeight="1" s="77"/>
    <row r="817" ht="15.75" customHeight="1" s="77"/>
    <row r="818" ht="15.75" customHeight="1" s="77"/>
    <row r="819" ht="15.75" customHeight="1" s="77"/>
    <row r="820" ht="15.75" customHeight="1" s="77"/>
    <row r="821" ht="15.75" customHeight="1" s="77"/>
    <row r="822" ht="15.75" customHeight="1" s="77"/>
    <row r="823" ht="15.75" customHeight="1" s="77"/>
    <row r="824" ht="15.75" customHeight="1" s="77"/>
    <row r="825" ht="15.75" customHeight="1" s="77"/>
    <row r="826" ht="15.75" customHeight="1" s="77"/>
    <row r="827" ht="15.75" customHeight="1" s="77"/>
    <row r="828" ht="15.75" customHeight="1" s="77"/>
    <row r="829" ht="15.75" customHeight="1" s="77"/>
    <row r="830" ht="15.75" customHeight="1" s="77"/>
    <row r="831" ht="15.75" customHeight="1" s="77"/>
    <row r="832" ht="15.75" customHeight="1" s="77"/>
    <row r="833" ht="15.75" customHeight="1" s="77"/>
    <row r="834" ht="15.75" customHeight="1" s="77"/>
    <row r="835" ht="15.75" customHeight="1" s="77"/>
    <row r="836" ht="15.75" customHeight="1" s="77"/>
    <row r="837" ht="15.75" customHeight="1" s="77"/>
    <row r="838" ht="15.75" customHeight="1" s="77"/>
    <row r="839" ht="15.75" customHeight="1" s="77"/>
    <row r="840" ht="15.75" customHeight="1" s="77"/>
    <row r="841" ht="15.75" customHeight="1" s="77"/>
    <row r="842" ht="15.75" customHeight="1" s="77"/>
    <row r="843" ht="15.75" customHeight="1" s="77"/>
    <row r="844" ht="15.75" customHeight="1" s="77"/>
    <row r="845" ht="15.75" customHeight="1" s="77"/>
    <row r="846" ht="15.75" customHeight="1" s="77"/>
    <row r="847" ht="15.75" customHeight="1" s="77"/>
    <row r="848" ht="15.75" customHeight="1" s="77"/>
    <row r="849" ht="15.75" customHeight="1" s="77"/>
    <row r="850" ht="15.75" customHeight="1" s="77"/>
    <row r="851" ht="15.75" customHeight="1" s="77"/>
    <row r="852" ht="15.75" customHeight="1" s="77"/>
    <row r="853" ht="15.75" customHeight="1" s="77"/>
    <row r="854" ht="15.75" customHeight="1" s="77"/>
    <row r="855" ht="15.75" customHeight="1" s="77"/>
    <row r="856" ht="15.75" customHeight="1" s="77"/>
    <row r="857" ht="15.75" customHeight="1" s="77"/>
    <row r="858" ht="15.75" customHeight="1" s="77"/>
    <row r="859" ht="15.75" customHeight="1" s="77"/>
    <row r="860" ht="15.75" customHeight="1" s="77"/>
    <row r="861" ht="15.75" customHeight="1" s="77"/>
    <row r="862" ht="15.75" customHeight="1" s="77"/>
    <row r="863" ht="15.75" customHeight="1" s="77"/>
    <row r="864" ht="15.75" customHeight="1" s="77"/>
    <row r="865" ht="15.75" customHeight="1" s="77"/>
    <row r="866" ht="15.75" customHeight="1" s="77"/>
    <row r="867" ht="15.75" customHeight="1" s="77"/>
    <row r="868" ht="15.75" customHeight="1" s="77"/>
    <row r="869" ht="15.75" customHeight="1" s="77"/>
    <row r="870" ht="15.75" customHeight="1" s="77"/>
    <row r="871" ht="15.75" customHeight="1" s="77"/>
    <row r="872" ht="15.75" customHeight="1" s="77"/>
    <row r="873" ht="15.75" customHeight="1" s="77"/>
    <row r="874" ht="15.75" customHeight="1" s="77"/>
    <row r="875" ht="15.75" customHeight="1" s="77"/>
    <row r="876" ht="15.75" customHeight="1" s="77"/>
    <row r="877" ht="15.75" customHeight="1" s="77"/>
    <row r="878" ht="15.75" customHeight="1" s="77"/>
    <row r="879" ht="15.75" customHeight="1" s="77"/>
    <row r="880" ht="15.75" customHeight="1" s="77"/>
    <row r="881" ht="15.75" customHeight="1" s="77"/>
    <row r="882" ht="15.75" customHeight="1" s="77"/>
    <row r="883" ht="15.75" customHeight="1" s="77"/>
    <row r="884" ht="15.75" customHeight="1" s="77"/>
    <row r="885" ht="15.75" customHeight="1" s="77"/>
    <row r="886" ht="15.75" customHeight="1" s="77"/>
    <row r="887" ht="15.75" customHeight="1" s="77"/>
    <row r="888" ht="15.75" customHeight="1" s="77"/>
    <row r="889" ht="15.75" customHeight="1" s="77"/>
    <row r="890" ht="15.75" customHeight="1" s="77"/>
    <row r="891" ht="15.75" customHeight="1" s="77"/>
    <row r="892" ht="15.75" customHeight="1" s="77"/>
    <row r="893" ht="15.75" customHeight="1" s="77"/>
    <row r="894" ht="15.75" customHeight="1" s="77"/>
    <row r="895" ht="15.75" customHeight="1" s="77"/>
    <row r="896" ht="15.75" customHeight="1" s="77"/>
    <row r="897" ht="15.75" customHeight="1" s="77"/>
    <row r="898" ht="15.75" customHeight="1" s="77"/>
    <row r="899" ht="15.75" customHeight="1" s="77"/>
    <row r="900" ht="15.75" customHeight="1" s="77"/>
    <row r="901" ht="15.75" customHeight="1" s="77"/>
    <row r="902" ht="15.75" customHeight="1" s="77"/>
    <row r="903" ht="15.75" customHeight="1" s="77"/>
    <row r="904" ht="15.75" customHeight="1" s="77"/>
    <row r="905" ht="15.75" customHeight="1" s="77"/>
    <row r="906" ht="15.75" customHeight="1" s="77"/>
    <row r="907" ht="15.75" customHeight="1" s="77"/>
    <row r="908" ht="15.75" customHeight="1" s="77"/>
    <row r="909" ht="15.75" customHeight="1" s="77"/>
    <row r="910" ht="15.75" customHeight="1" s="77"/>
    <row r="911" ht="15.75" customHeight="1" s="77"/>
    <row r="912" ht="15.75" customHeight="1" s="77"/>
    <row r="913" ht="15.75" customHeight="1" s="77"/>
    <row r="914" ht="15.75" customHeight="1" s="77"/>
    <row r="915" ht="15.75" customHeight="1" s="77"/>
    <row r="916" ht="15.75" customHeight="1" s="77"/>
    <row r="917" ht="15.75" customHeight="1" s="77"/>
    <row r="918" ht="15.75" customHeight="1" s="77"/>
    <row r="919" ht="15.75" customHeight="1" s="77"/>
    <row r="920" ht="15.75" customHeight="1" s="77"/>
    <row r="921" ht="15.75" customHeight="1" s="77"/>
    <row r="922" ht="15.75" customHeight="1" s="77"/>
    <row r="923" ht="15.75" customHeight="1" s="77"/>
    <row r="924" ht="15.75" customHeight="1" s="77"/>
    <row r="925" ht="15.75" customHeight="1" s="77"/>
    <row r="926" ht="15.75" customHeight="1" s="77"/>
    <row r="927" ht="15.75" customHeight="1" s="77"/>
    <row r="928" ht="15.75" customHeight="1" s="77"/>
    <row r="929" ht="15.75" customHeight="1" s="77"/>
    <row r="930" ht="15.75" customHeight="1" s="77"/>
    <row r="931" ht="15.75" customHeight="1" s="77"/>
    <row r="932" ht="15.75" customHeight="1" s="77"/>
    <row r="933" ht="15.75" customHeight="1" s="77"/>
    <row r="934" ht="15.75" customHeight="1" s="77"/>
    <row r="935" ht="15.75" customHeight="1" s="77"/>
    <row r="936" ht="15.75" customHeight="1" s="77"/>
    <row r="937" ht="15.75" customHeight="1" s="77"/>
    <row r="938" ht="15.75" customHeight="1" s="77"/>
    <row r="939" ht="15.75" customHeight="1" s="77"/>
    <row r="940" ht="15.75" customHeight="1" s="77"/>
    <row r="941" ht="15.75" customHeight="1" s="77"/>
    <row r="942" ht="15.75" customHeight="1" s="77"/>
    <row r="943" ht="15.75" customHeight="1" s="77"/>
    <row r="944" ht="15.75" customHeight="1" s="77"/>
    <row r="945" ht="15.75" customHeight="1" s="77"/>
    <row r="946" ht="15.75" customHeight="1" s="77"/>
    <row r="947" ht="15.75" customHeight="1" s="77"/>
    <row r="948" ht="15.75" customHeight="1" s="77"/>
    <row r="949" ht="15.75" customHeight="1" s="77"/>
    <row r="950" ht="15.75" customHeight="1" s="77"/>
    <row r="951" ht="15.75" customHeight="1" s="77"/>
    <row r="952" ht="15.75" customHeight="1" s="77"/>
    <row r="953" ht="15.75" customHeight="1" s="77"/>
    <row r="954" ht="15.75" customHeight="1" s="77"/>
    <row r="955" ht="15.75" customHeight="1" s="77"/>
    <row r="956" ht="15.75" customHeight="1" s="77"/>
    <row r="957" ht="15.75" customHeight="1" s="77"/>
    <row r="958" ht="15.75" customHeight="1" s="77"/>
    <row r="959" ht="15.75" customHeight="1" s="77"/>
    <row r="960" ht="15.75" customHeight="1" s="77"/>
    <row r="961" ht="15.75" customHeight="1" s="77"/>
    <row r="962" ht="15.75" customHeight="1" s="77"/>
    <row r="963" ht="15.75" customHeight="1" s="77"/>
    <row r="964" ht="15.75" customHeight="1" s="77"/>
    <row r="965" ht="15.75" customHeight="1" s="77"/>
    <row r="966" ht="15.75" customHeight="1" s="77"/>
    <row r="967" ht="15.75" customHeight="1" s="77"/>
    <row r="968" ht="15.75" customHeight="1" s="77"/>
    <row r="969" ht="15.75" customHeight="1" s="77"/>
    <row r="970" ht="15.75" customHeight="1" s="77"/>
    <row r="971" ht="15.75" customHeight="1" s="77"/>
    <row r="972" ht="15.75" customHeight="1" s="77"/>
    <row r="973" ht="15.75" customHeight="1" s="77"/>
    <row r="974" ht="15.75" customHeight="1" s="77"/>
    <row r="975" ht="15.75" customHeight="1" s="77"/>
    <row r="976" ht="15.75" customHeight="1" s="77"/>
    <row r="977" ht="15.75" customHeight="1" s="77"/>
    <row r="978" ht="15.75" customHeight="1" s="77"/>
    <row r="979" ht="15.75" customHeight="1" s="77"/>
    <row r="980" ht="15.75" customHeight="1" s="77"/>
    <row r="981" ht="15.75" customHeight="1" s="77"/>
    <row r="982" ht="15.75" customHeight="1" s="77"/>
    <row r="983" ht="15.75" customHeight="1" s="77"/>
    <row r="984" ht="15.75" customHeight="1" s="77"/>
    <row r="985" ht="15.75" customHeight="1" s="77"/>
    <row r="986" ht="15.75" customHeight="1" s="77"/>
    <row r="987" ht="15.75" customHeight="1" s="77"/>
    <row r="988" ht="15.75" customHeight="1" s="77"/>
    <row r="989" ht="15.75" customHeight="1" s="77"/>
    <row r="990" ht="15.75" customHeight="1" s="77"/>
    <row r="991" ht="15.75" customHeight="1" s="77"/>
    <row r="992" ht="15.75" customHeight="1" s="77"/>
    <row r="993" ht="15.75" customHeight="1" s="77"/>
    <row r="994" ht="15.75" customHeight="1" s="77"/>
    <row r="995" ht="15.75" customHeight="1" s="77"/>
    <row r="996" ht="15.75" customHeight="1" s="77"/>
    <row r="997" ht="15.75" customHeight="1" s="77"/>
    <row r="998" ht="15.75" customHeight="1" s="77"/>
    <row r="999" ht="15.75" customHeight="1" s="77"/>
    <row r="1000" ht="15.75" customHeight="1" s="77"/>
  </sheetData>
  <mergeCells count="37">
    <mergeCell ref="B16:C16"/>
    <mergeCell ref="A27:F27"/>
    <mergeCell ref="B22:C22"/>
    <mergeCell ref="D17:F17"/>
    <mergeCell ref="A3:F3"/>
    <mergeCell ref="B18:C18"/>
    <mergeCell ref="D16:F16"/>
    <mergeCell ref="B21:C21"/>
    <mergeCell ref="B39:F39"/>
    <mergeCell ref="A5:F5"/>
    <mergeCell ref="A32:F32"/>
    <mergeCell ref="A8:F8"/>
    <mergeCell ref="D18:F18"/>
    <mergeCell ref="A35:F35"/>
    <mergeCell ref="B17:C17"/>
    <mergeCell ref="D15:F15"/>
    <mergeCell ref="A29:F29"/>
    <mergeCell ref="A10:F10"/>
    <mergeCell ref="A28:F28"/>
    <mergeCell ref="B38:F38"/>
    <mergeCell ref="A13:F13"/>
    <mergeCell ref="B19:C19"/>
    <mergeCell ref="A9:F9"/>
    <mergeCell ref="A31:F31"/>
    <mergeCell ref="B37:F37"/>
    <mergeCell ref="A30:F30"/>
    <mergeCell ref="D20:F20"/>
    <mergeCell ref="B40:F40"/>
    <mergeCell ref="D19:F19"/>
    <mergeCell ref="B15:C15"/>
    <mergeCell ref="A1:F1"/>
    <mergeCell ref="B20:C20"/>
    <mergeCell ref="D22:F22"/>
    <mergeCell ref="A6:F6"/>
    <mergeCell ref="D21:F21"/>
    <mergeCell ref="A7:F7"/>
    <mergeCell ref="A25:F25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77" min="1" max="1"/>
    <col width="25" customWidth="1" style="77" min="2" max="2"/>
    <col width="15" customWidth="1" style="77" min="3" max="3"/>
    <col width="25" customWidth="1" style="77" min="4" max="4"/>
    <col width="15" customWidth="1" style="77" min="5" max="5"/>
    <col width="8.859999999999999" customWidth="1" style="77" min="6" max="26"/>
  </cols>
  <sheetData>
    <row r="1" ht="30" customHeight="1" s="77">
      <c r="A1" s="78" t="inlineStr">
        <is>
          <t>1️⃣ INFORMATIONS GÉNÉRALES</t>
        </is>
      </c>
    </row>
    <row r="3">
      <c r="A3" s="28" t="inlineStr">
        <is>
          <t>🏢 IDENTIFICATION DE L'ENTREPRISE</t>
        </is>
      </c>
    </row>
    <row r="5">
      <c r="A5" s="14" t="inlineStr">
        <is>
          <t>Nom de l'entreprise *</t>
        </is>
      </c>
      <c r="B5" s="15" t="n"/>
      <c r="C5" s="16" t="inlineStr">
        <is>
          <t>EcoBuild CI SARL</t>
        </is>
      </c>
    </row>
    <row r="6">
      <c r="A6" s="14" t="inlineStr">
        <is>
          <t>Forme juridique</t>
        </is>
      </c>
      <c r="B6" s="17" t="n"/>
      <c r="C6" s="16" t="inlineStr">
        <is>
          <t>SARL</t>
        </is>
      </c>
    </row>
    <row r="7">
      <c r="A7" s="14" t="inlineStr">
        <is>
          <t>Pays *</t>
        </is>
      </c>
      <c r="B7" s="15" t="n"/>
      <c r="C7" s="16" t="inlineStr">
        <is>
          <t>Côte d'Ivoire</t>
        </is>
      </c>
    </row>
    <row r="8">
      <c r="A8" s="14" t="inlineStr">
        <is>
          <t>Ville/Région</t>
        </is>
      </c>
      <c r="B8" s="17" t="n"/>
      <c r="C8" s="16" t="inlineStr">
        <is>
          <t>Abidjan - Yopougon</t>
        </is>
      </c>
    </row>
    <row r="9">
      <c r="A9" s="14" t="inlineStr">
        <is>
          <t>Secteur d'activité *</t>
        </is>
      </c>
      <c r="B9" s="15" t="n"/>
      <c r="C9" s="16" t="inlineStr">
        <is>
          <t>Recyclage / Construction durable</t>
        </is>
      </c>
    </row>
    <row r="10">
      <c r="A10" s="14" t="inlineStr">
        <is>
          <t>Date de création</t>
        </is>
      </c>
      <c r="B10" s="17" t="n"/>
      <c r="C10" s="16" t="inlineStr">
        <is>
          <t>15/03/2022</t>
        </is>
      </c>
    </row>
    <row r="11">
      <c r="A11" s="14" t="inlineStr">
        <is>
          <t>Numéro d'immatriculation</t>
        </is>
      </c>
      <c r="B11" s="17" t="n"/>
      <c r="C11" s="16" t="inlineStr">
        <is>
          <t>CI-ABJ-2022-B-4589</t>
        </is>
      </c>
    </row>
    <row r="14">
      <c r="A14" s="28" t="inlineStr">
        <is>
          <t>📞 CONTACT PRINCIPAL</t>
        </is>
      </c>
    </row>
    <row r="16">
      <c r="A16" s="14" t="inlineStr">
        <is>
          <t>Nom &amp; Prénom du dirigeant *</t>
        </is>
      </c>
      <c r="B16" s="15" t="n"/>
      <c r="C16" s="16" t="inlineStr">
        <is>
          <t>Amara KONÉ</t>
        </is>
      </c>
    </row>
    <row r="17">
      <c r="A17" s="14" t="inlineStr">
        <is>
          <t>Fonction</t>
        </is>
      </c>
      <c r="B17" s="17" t="n"/>
      <c r="C17" s="16" t="inlineStr">
        <is>
          <t>Directeur Général</t>
        </is>
      </c>
    </row>
    <row r="18">
      <c r="A18" s="14" t="inlineStr">
        <is>
          <t>Téléphone *</t>
        </is>
      </c>
      <c r="B18" s="15" t="n"/>
      <c r="C18" s="16" t="inlineStr">
        <is>
          <t>+225 07 08 09 10 11</t>
        </is>
      </c>
    </row>
    <row r="19">
      <c r="A19" s="14" t="inlineStr">
        <is>
          <t>Email *</t>
        </is>
      </c>
      <c r="B19" s="15" t="n"/>
      <c r="C19" s="16" t="inlineStr">
        <is>
          <t>amara.kone@ecobuild-ci.com</t>
        </is>
      </c>
    </row>
    <row r="21" ht="15.75" customHeight="1" s="77"/>
    <row r="22" ht="15.75" customHeight="1" s="77">
      <c r="A22" s="28" t="inlineStr">
        <is>
          <t>💰 PARAMÈTRES FINANCIERS</t>
        </is>
      </c>
    </row>
    <row r="23" ht="15.75" customHeight="1" s="77"/>
    <row r="24" ht="15.75" customHeight="1" s="77">
      <c r="A24" s="14" t="inlineStr">
        <is>
          <t>Devise principale *</t>
        </is>
      </c>
      <c r="B24" s="15" t="n"/>
      <c r="C24" s="16" t="inlineStr">
        <is>
          <t>XOF (Franc CFA)</t>
        </is>
      </c>
    </row>
    <row r="25" ht="15.75" customHeight="1" s="77">
      <c r="A25" s="14" t="inlineStr">
        <is>
          <t>Année fiscale</t>
        </is>
      </c>
      <c r="B25" s="17" t="n"/>
      <c r="C25" s="16" t="inlineStr">
        <is>
          <t>Janvier à Décembre</t>
        </is>
      </c>
    </row>
    <row r="26" ht="15.75" customHeight="1" s="77">
      <c r="A26" s="14" t="inlineStr">
        <is>
          <t>Taux de TVA applicable</t>
        </is>
      </c>
      <c r="B26" s="17" t="n"/>
      <c r="C26" s="16" t="inlineStr">
        <is>
          <t>18%</t>
        </is>
      </c>
    </row>
    <row r="27" ht="15.75" customHeight="1" s="77">
      <c r="A27" s="14" t="inlineStr">
        <is>
          <t>Régime fiscal</t>
        </is>
      </c>
      <c r="B27" s="17" t="n"/>
      <c r="C27" s="16" t="inlineStr">
        <is>
          <t>Réel Normal</t>
        </is>
      </c>
    </row>
    <row r="28" ht="15.75" customHeight="1" s="77"/>
    <row r="29" ht="15.75" customHeight="1" s="77"/>
    <row r="30" ht="15.75" customHeight="1" s="77">
      <c r="A30" s="28" t="inlineStr">
        <is>
          <t>Description de l'activité : EcoBuild CI collecte les déchets plastiques dans 8 communes d'Abidjan et les transforme en briques écologiques.</t>
        </is>
      </c>
    </row>
    <row r="31" ht="15.75" customHeight="1" s="77"/>
    <row r="32" ht="15.75" customHeight="1" s="77">
      <c r="A32" s="14" t="inlineStr">
        <is>
          <t>Décrivez en quelques lignes votre activité principale :</t>
        </is>
      </c>
    </row>
    <row r="33" ht="30" customHeight="1" s="77">
      <c r="A33" s="16" t="inlineStr">
        <is>
          <t>Ex: Production et commercialisation de cultures vivrières (manioc, maïs, arachide), transformation de produits agricoles et prestation de services agricoles aux petits exploitants.</t>
        </is>
      </c>
    </row>
    <row r="34" ht="60" customHeight="1" s="77">
      <c r="A34" s="79" t="n"/>
    </row>
    <row r="35" ht="15.75" customHeight="1" s="77"/>
    <row r="36" ht="15.75" customHeight="1" s="77"/>
    <row r="37" ht="15.75" customHeight="1" s="77"/>
    <row r="38" ht="15.75" customHeight="1" s="77"/>
    <row r="39" ht="15.75" customHeight="1" s="77"/>
    <row r="40" ht="15.75" customHeight="1" s="77"/>
    <row r="41" ht="15.75" customHeight="1" s="77"/>
    <row r="42" ht="15.75" customHeight="1" s="77"/>
    <row r="43" ht="15.75" customHeight="1" s="77"/>
    <row r="44" ht="15.75" customHeight="1" s="77"/>
    <row r="45" ht="15.75" customHeight="1" s="77"/>
    <row r="46" ht="15.75" customHeight="1" s="77"/>
    <row r="47" ht="15.75" customHeight="1" s="77"/>
    <row r="48" ht="15.75" customHeight="1" s="77"/>
    <row r="49" ht="15.75" customHeight="1" s="77"/>
    <row r="50" ht="15.75" customHeight="1" s="77"/>
    <row r="51" ht="15.75" customHeight="1" s="77"/>
    <row r="52" ht="15.75" customHeight="1" s="77"/>
    <row r="53" ht="15.75" customHeight="1" s="77"/>
    <row r="54" ht="15.75" customHeight="1" s="77"/>
    <row r="55" ht="15.75" customHeight="1" s="77"/>
    <row r="56" ht="15.75" customHeight="1" s="77"/>
    <row r="57" ht="15.75" customHeight="1" s="77"/>
    <row r="58" ht="15.75" customHeight="1" s="77"/>
    <row r="59" ht="15.75" customHeight="1" s="77"/>
    <row r="60" ht="15.75" customHeight="1" s="77"/>
    <row r="61" ht="15.75" customHeight="1" s="77"/>
    <row r="62" ht="15.75" customHeight="1" s="77"/>
    <row r="63" ht="15.75" customHeight="1" s="77"/>
    <row r="64" ht="15.75" customHeight="1" s="77"/>
    <row r="65" ht="15.75" customHeight="1" s="77"/>
    <row r="66" ht="15.75" customHeight="1" s="77"/>
    <row r="67" ht="15.75" customHeight="1" s="77"/>
    <row r="68" ht="15.75" customHeight="1" s="77"/>
    <row r="69" ht="15.75" customHeight="1" s="77"/>
    <row r="70" ht="15.75" customHeight="1" s="77"/>
    <row r="71" ht="15.75" customHeight="1" s="77"/>
    <row r="72" ht="15.75" customHeight="1" s="77"/>
    <row r="73" ht="15.75" customHeight="1" s="77"/>
    <row r="74" ht="15.75" customHeight="1" s="77"/>
    <row r="75" ht="15.75" customHeight="1" s="77"/>
    <row r="76" ht="15.75" customHeight="1" s="77"/>
    <row r="77" ht="15.75" customHeight="1" s="77"/>
    <row r="78" ht="15.75" customHeight="1" s="77"/>
    <row r="79" ht="15.75" customHeight="1" s="77"/>
    <row r="80" ht="15.75" customHeight="1" s="77"/>
    <row r="81" ht="15.75" customHeight="1" s="77"/>
    <row r="82" ht="15.75" customHeight="1" s="77"/>
    <row r="83" ht="15.75" customHeight="1" s="77"/>
    <row r="84" ht="15.75" customHeight="1" s="77"/>
    <row r="85" ht="15.75" customHeight="1" s="77"/>
    <row r="86" ht="15.75" customHeight="1" s="77"/>
    <row r="87" ht="15.75" customHeight="1" s="77"/>
    <row r="88" ht="15.75" customHeight="1" s="77"/>
    <row r="89" ht="15.75" customHeight="1" s="77"/>
    <row r="90" ht="15.75" customHeight="1" s="77"/>
    <row r="91" ht="15.75" customHeight="1" s="77"/>
    <row r="92" ht="15.75" customHeight="1" s="77"/>
    <row r="93" ht="15.75" customHeight="1" s="77"/>
    <row r="94" ht="15.75" customHeight="1" s="77"/>
    <row r="95" ht="15.75" customHeight="1" s="77"/>
    <row r="96" ht="15.75" customHeight="1" s="77"/>
    <row r="97" ht="15.75" customHeight="1" s="77"/>
    <row r="98" ht="15.75" customHeight="1" s="77"/>
    <row r="99" ht="15.75" customHeight="1" s="77"/>
    <row r="100" ht="15.75" customHeight="1" s="77"/>
    <row r="101" ht="15.75" customHeight="1" s="77"/>
    <row r="102" ht="15.75" customHeight="1" s="77"/>
    <row r="103" ht="15.75" customHeight="1" s="77"/>
    <row r="104" ht="15.75" customHeight="1" s="77"/>
    <row r="105" ht="15.75" customHeight="1" s="77"/>
    <row r="106" ht="15.75" customHeight="1" s="77"/>
    <row r="107" ht="15.75" customHeight="1" s="77"/>
    <row r="108" ht="15.75" customHeight="1" s="77"/>
    <row r="109" ht="15.75" customHeight="1" s="77"/>
    <row r="110" ht="15.75" customHeight="1" s="77"/>
    <row r="111" ht="15.75" customHeight="1" s="77"/>
    <row r="112" ht="15.75" customHeight="1" s="77"/>
    <row r="113" ht="15.75" customHeight="1" s="77"/>
    <row r="114" ht="15.75" customHeight="1" s="77"/>
    <row r="115" ht="15.75" customHeight="1" s="77"/>
    <row r="116" ht="15.75" customHeight="1" s="77"/>
    <row r="117" ht="15.75" customHeight="1" s="77"/>
    <row r="118" ht="15.75" customHeight="1" s="77"/>
    <row r="119" ht="15.75" customHeight="1" s="77"/>
    <row r="120" ht="15.75" customHeight="1" s="77"/>
    <row r="121" ht="15.75" customHeight="1" s="77"/>
    <row r="122" ht="15.75" customHeight="1" s="77"/>
    <row r="123" ht="15.75" customHeight="1" s="77"/>
    <row r="124" ht="15.75" customHeight="1" s="77"/>
    <row r="125" ht="15.75" customHeight="1" s="77"/>
    <row r="126" ht="15.75" customHeight="1" s="77"/>
    <row r="127" ht="15.75" customHeight="1" s="77"/>
    <row r="128" ht="15.75" customHeight="1" s="77"/>
    <row r="129" ht="15.75" customHeight="1" s="77"/>
    <row r="130" ht="15.75" customHeight="1" s="77"/>
    <row r="131" ht="15.75" customHeight="1" s="77"/>
    <row r="132" ht="15.75" customHeight="1" s="77"/>
    <row r="133" ht="15.75" customHeight="1" s="77"/>
    <row r="134" ht="15.75" customHeight="1" s="77"/>
    <row r="135" ht="15.75" customHeight="1" s="77"/>
    <row r="136" ht="15.75" customHeight="1" s="77"/>
    <row r="137" ht="15.75" customHeight="1" s="77"/>
    <row r="138" ht="15.75" customHeight="1" s="77"/>
    <row r="139" ht="15.75" customHeight="1" s="77"/>
    <row r="140" ht="15.75" customHeight="1" s="77"/>
    <row r="141" ht="15.75" customHeight="1" s="77"/>
    <row r="142" ht="15.75" customHeight="1" s="77"/>
    <row r="143" ht="15.75" customHeight="1" s="77"/>
    <row r="144" ht="15.75" customHeight="1" s="77"/>
    <row r="145" ht="15.75" customHeight="1" s="77"/>
    <row r="146" ht="15.75" customHeight="1" s="77"/>
    <row r="147" ht="15.75" customHeight="1" s="77"/>
    <row r="148" ht="15.75" customHeight="1" s="77"/>
    <row r="149" ht="15.75" customHeight="1" s="77"/>
    <row r="150" ht="15.75" customHeight="1" s="77"/>
    <row r="151" ht="15.75" customHeight="1" s="77"/>
    <row r="152" ht="15.75" customHeight="1" s="77"/>
    <row r="153" ht="15.75" customHeight="1" s="77"/>
    <row r="154" ht="15.75" customHeight="1" s="77"/>
    <row r="155" ht="15.75" customHeight="1" s="77"/>
    <row r="156" ht="15.75" customHeight="1" s="77"/>
    <row r="157" ht="15.75" customHeight="1" s="77"/>
    <row r="158" ht="15.75" customHeight="1" s="77"/>
    <row r="159" ht="15.75" customHeight="1" s="77"/>
    <row r="160" ht="15.75" customHeight="1" s="77"/>
    <row r="161" ht="15.75" customHeight="1" s="77"/>
    <row r="162" ht="15.75" customHeight="1" s="77"/>
    <row r="163" ht="15.75" customHeight="1" s="77"/>
    <row r="164" ht="15.75" customHeight="1" s="77"/>
    <row r="165" ht="15.75" customHeight="1" s="77"/>
    <row r="166" ht="15.75" customHeight="1" s="77"/>
    <row r="167" ht="15.75" customHeight="1" s="77"/>
    <row r="168" ht="15.75" customHeight="1" s="77"/>
    <row r="169" ht="15.75" customHeight="1" s="77"/>
    <row r="170" ht="15.75" customHeight="1" s="77"/>
    <row r="171" ht="15.75" customHeight="1" s="77"/>
    <row r="172" ht="15.75" customHeight="1" s="77"/>
    <row r="173" ht="15.75" customHeight="1" s="77"/>
    <row r="174" ht="15.75" customHeight="1" s="77"/>
    <row r="175" ht="15.75" customHeight="1" s="77"/>
    <row r="176" ht="15.75" customHeight="1" s="77"/>
    <row r="177" ht="15.75" customHeight="1" s="77"/>
    <row r="178" ht="15.75" customHeight="1" s="77"/>
    <row r="179" ht="15.75" customHeight="1" s="77"/>
    <row r="180" ht="15.75" customHeight="1" s="77"/>
    <row r="181" ht="15.75" customHeight="1" s="77"/>
    <row r="182" ht="15.75" customHeight="1" s="77"/>
    <row r="183" ht="15.75" customHeight="1" s="77"/>
    <row r="184" ht="15.75" customHeight="1" s="77"/>
    <row r="185" ht="15.75" customHeight="1" s="77"/>
    <row r="186" ht="15.75" customHeight="1" s="77"/>
    <row r="187" ht="15.75" customHeight="1" s="77"/>
    <row r="188" ht="15.75" customHeight="1" s="77"/>
    <row r="189" ht="15.75" customHeight="1" s="77"/>
    <row r="190" ht="15.75" customHeight="1" s="77"/>
    <row r="191" ht="15.75" customHeight="1" s="77"/>
    <row r="192" ht="15.75" customHeight="1" s="77"/>
    <row r="193" ht="15.75" customHeight="1" s="77"/>
    <row r="194" ht="15.75" customHeight="1" s="77"/>
    <row r="195" ht="15.75" customHeight="1" s="77"/>
    <row r="196" ht="15.75" customHeight="1" s="77"/>
    <row r="197" ht="15.75" customHeight="1" s="77"/>
    <row r="198" ht="15.75" customHeight="1" s="77"/>
    <row r="199" ht="15.75" customHeight="1" s="77"/>
    <row r="200" ht="15.75" customHeight="1" s="77"/>
    <row r="201" ht="15.75" customHeight="1" s="77"/>
    <row r="202" ht="15.75" customHeight="1" s="77"/>
    <row r="203" ht="15.75" customHeight="1" s="77"/>
    <row r="204" ht="15.75" customHeight="1" s="77"/>
    <row r="205" ht="15.75" customHeight="1" s="77"/>
    <row r="206" ht="15.75" customHeight="1" s="77"/>
    <row r="207" ht="15.75" customHeight="1" s="77"/>
    <row r="208" ht="15.75" customHeight="1" s="77"/>
    <row r="209" ht="15.75" customHeight="1" s="77"/>
    <row r="210" ht="15.75" customHeight="1" s="77"/>
    <row r="211" ht="15.75" customHeight="1" s="77"/>
    <row r="212" ht="15.75" customHeight="1" s="77"/>
    <row r="213" ht="15.75" customHeight="1" s="77"/>
    <row r="214" ht="15.75" customHeight="1" s="77"/>
    <row r="215" ht="15.75" customHeight="1" s="77"/>
    <row r="216" ht="15.75" customHeight="1" s="77"/>
    <row r="217" ht="15.75" customHeight="1" s="77"/>
    <row r="218" ht="15.75" customHeight="1" s="77"/>
    <row r="219" ht="15.75" customHeight="1" s="77"/>
    <row r="220" ht="15.75" customHeight="1" s="77"/>
    <row r="221" ht="15.75" customHeight="1" s="77"/>
    <row r="222" ht="15.75" customHeight="1" s="77"/>
    <row r="223" ht="15.75" customHeight="1" s="77"/>
    <row r="224" ht="15.75" customHeight="1" s="77"/>
    <row r="225" ht="15.75" customHeight="1" s="77"/>
    <row r="226" ht="15.75" customHeight="1" s="77"/>
    <row r="227" ht="15.75" customHeight="1" s="77"/>
    <row r="228" ht="15.75" customHeight="1" s="77"/>
    <row r="229" ht="15.75" customHeight="1" s="77"/>
    <row r="230" ht="15.75" customHeight="1" s="77"/>
    <row r="231" ht="15.75" customHeight="1" s="77"/>
    <row r="232" ht="15.75" customHeight="1" s="77"/>
    <row r="233" ht="15.75" customHeight="1" s="77"/>
    <row r="234" ht="15.75" customHeight="1" s="77"/>
    <row r="235" ht="15.75" customHeight="1" s="77"/>
    <row r="236" ht="15.75" customHeight="1" s="77"/>
    <row r="237" ht="15.75" customHeight="1" s="77"/>
    <row r="238" ht="15.75" customHeight="1" s="77"/>
    <row r="239" ht="15.75" customHeight="1" s="77"/>
    <row r="240" ht="15.75" customHeight="1" s="77"/>
    <row r="241" ht="15.75" customHeight="1" s="77"/>
    <row r="242" ht="15.75" customHeight="1" s="77"/>
    <row r="243" ht="15.75" customHeight="1" s="77"/>
    <row r="244" ht="15.75" customHeight="1" s="77"/>
    <row r="245" ht="15.75" customHeight="1" s="77"/>
    <row r="246" ht="15.75" customHeight="1" s="77"/>
    <row r="247" ht="15.75" customHeight="1" s="77"/>
    <row r="248" ht="15.75" customHeight="1" s="77"/>
    <row r="249" ht="15.75" customHeight="1" s="77"/>
    <row r="250" ht="15.75" customHeight="1" s="77"/>
    <row r="251" ht="15.75" customHeight="1" s="77"/>
    <row r="252" ht="15.75" customHeight="1" s="77"/>
    <row r="253" ht="15.75" customHeight="1" s="77"/>
    <row r="254" ht="15.75" customHeight="1" s="77"/>
    <row r="255" ht="15.75" customHeight="1" s="77"/>
    <row r="256" ht="15.75" customHeight="1" s="77"/>
    <row r="257" ht="15.75" customHeight="1" s="77"/>
    <row r="258" ht="15.75" customHeight="1" s="77"/>
    <row r="259" ht="15.75" customHeight="1" s="77"/>
    <row r="260" ht="15.75" customHeight="1" s="77"/>
    <row r="261" ht="15.75" customHeight="1" s="77"/>
    <row r="262" ht="15.75" customHeight="1" s="77"/>
    <row r="263" ht="15.75" customHeight="1" s="77"/>
    <row r="264" ht="15.75" customHeight="1" s="77"/>
    <row r="265" ht="15.75" customHeight="1" s="77"/>
    <row r="266" ht="15.75" customHeight="1" s="77"/>
    <row r="267" ht="15.75" customHeight="1" s="77"/>
    <row r="268" ht="15.75" customHeight="1" s="77"/>
    <row r="269" ht="15.75" customHeight="1" s="77"/>
    <row r="270" ht="15.75" customHeight="1" s="77"/>
    <row r="271" ht="15.75" customHeight="1" s="77"/>
    <row r="272" ht="15.75" customHeight="1" s="77"/>
    <row r="273" ht="15.75" customHeight="1" s="77"/>
    <row r="274" ht="15.75" customHeight="1" s="77"/>
    <row r="275" ht="15.75" customHeight="1" s="77"/>
    <row r="276" ht="15.75" customHeight="1" s="77"/>
    <row r="277" ht="15.75" customHeight="1" s="77"/>
    <row r="278" ht="15.75" customHeight="1" s="77"/>
    <row r="279" ht="15.75" customHeight="1" s="77"/>
    <row r="280" ht="15.75" customHeight="1" s="77"/>
    <row r="281" ht="15.75" customHeight="1" s="77"/>
    <row r="282" ht="15.75" customHeight="1" s="77"/>
    <row r="283" ht="15.75" customHeight="1" s="77"/>
    <row r="284" ht="15.75" customHeight="1" s="77"/>
    <row r="285" ht="15.75" customHeight="1" s="77"/>
    <row r="286" ht="15.75" customHeight="1" s="77"/>
    <row r="287" ht="15.75" customHeight="1" s="77"/>
    <row r="288" ht="15.75" customHeight="1" s="77"/>
    <row r="289" ht="15.75" customHeight="1" s="77"/>
    <row r="290" ht="15.75" customHeight="1" s="77"/>
    <row r="291" ht="15.75" customHeight="1" s="77"/>
    <row r="292" ht="15.75" customHeight="1" s="77"/>
    <row r="293" ht="15.75" customHeight="1" s="77"/>
    <row r="294" ht="15.75" customHeight="1" s="77"/>
    <row r="295" ht="15.75" customHeight="1" s="77"/>
    <row r="296" ht="15.75" customHeight="1" s="77"/>
    <row r="297" ht="15.75" customHeight="1" s="77"/>
    <row r="298" ht="15.75" customHeight="1" s="77"/>
    <row r="299" ht="15.75" customHeight="1" s="77"/>
    <row r="300" ht="15.75" customHeight="1" s="77"/>
    <row r="301" ht="15.75" customHeight="1" s="77"/>
    <row r="302" ht="15.75" customHeight="1" s="77"/>
    <row r="303" ht="15.75" customHeight="1" s="77"/>
    <row r="304" ht="15.75" customHeight="1" s="77"/>
    <row r="305" ht="15.75" customHeight="1" s="77"/>
    <row r="306" ht="15.75" customHeight="1" s="77"/>
    <row r="307" ht="15.75" customHeight="1" s="77"/>
    <row r="308" ht="15.75" customHeight="1" s="77"/>
    <row r="309" ht="15.75" customHeight="1" s="77"/>
    <row r="310" ht="15.75" customHeight="1" s="77"/>
    <row r="311" ht="15.75" customHeight="1" s="77"/>
    <row r="312" ht="15.75" customHeight="1" s="77"/>
    <row r="313" ht="15.75" customHeight="1" s="77"/>
    <row r="314" ht="15.75" customHeight="1" s="77"/>
    <row r="315" ht="15.75" customHeight="1" s="77"/>
    <row r="316" ht="15.75" customHeight="1" s="77"/>
    <row r="317" ht="15.75" customHeight="1" s="77"/>
    <row r="318" ht="15.75" customHeight="1" s="77"/>
    <row r="319" ht="15.75" customHeight="1" s="77"/>
    <row r="320" ht="15.75" customHeight="1" s="77"/>
    <row r="321" ht="15.75" customHeight="1" s="77"/>
    <row r="322" ht="15.75" customHeight="1" s="77"/>
    <row r="323" ht="15.75" customHeight="1" s="77"/>
    <row r="324" ht="15.75" customHeight="1" s="77"/>
    <row r="325" ht="15.75" customHeight="1" s="77"/>
    <row r="326" ht="15.75" customHeight="1" s="77"/>
    <row r="327" ht="15.75" customHeight="1" s="77"/>
    <row r="328" ht="15.75" customHeight="1" s="77"/>
    <row r="329" ht="15.75" customHeight="1" s="77"/>
    <row r="330" ht="15.75" customHeight="1" s="77"/>
    <row r="331" ht="15.75" customHeight="1" s="77"/>
    <row r="332" ht="15.75" customHeight="1" s="77"/>
    <row r="333" ht="15.75" customHeight="1" s="77"/>
    <row r="334" ht="15.75" customHeight="1" s="77"/>
    <row r="335" ht="15.75" customHeight="1" s="77"/>
    <row r="336" ht="15.75" customHeight="1" s="77"/>
    <row r="337" ht="15.75" customHeight="1" s="77"/>
    <row r="338" ht="15.75" customHeight="1" s="77"/>
    <row r="339" ht="15.75" customHeight="1" s="77"/>
    <row r="340" ht="15.75" customHeight="1" s="77"/>
    <row r="341" ht="15.75" customHeight="1" s="77"/>
    <row r="342" ht="15.75" customHeight="1" s="77"/>
    <row r="343" ht="15.75" customHeight="1" s="77"/>
    <row r="344" ht="15.75" customHeight="1" s="77"/>
    <row r="345" ht="15.75" customHeight="1" s="77"/>
    <row r="346" ht="15.75" customHeight="1" s="77"/>
    <row r="347" ht="15.75" customHeight="1" s="77"/>
    <row r="348" ht="15.75" customHeight="1" s="77"/>
    <row r="349" ht="15.75" customHeight="1" s="77"/>
    <row r="350" ht="15.75" customHeight="1" s="77"/>
    <row r="351" ht="15.75" customHeight="1" s="77"/>
    <row r="352" ht="15.75" customHeight="1" s="77"/>
    <row r="353" ht="15.75" customHeight="1" s="77"/>
    <row r="354" ht="15.75" customHeight="1" s="77"/>
    <row r="355" ht="15.75" customHeight="1" s="77"/>
    <row r="356" ht="15.75" customHeight="1" s="77"/>
    <row r="357" ht="15.75" customHeight="1" s="77"/>
    <row r="358" ht="15.75" customHeight="1" s="77"/>
    <row r="359" ht="15.75" customHeight="1" s="77"/>
    <row r="360" ht="15.75" customHeight="1" s="77"/>
    <row r="361" ht="15.75" customHeight="1" s="77"/>
    <row r="362" ht="15.75" customHeight="1" s="77"/>
    <row r="363" ht="15.75" customHeight="1" s="77"/>
    <row r="364" ht="15.75" customHeight="1" s="77"/>
    <row r="365" ht="15.75" customHeight="1" s="77"/>
    <row r="366" ht="15.75" customHeight="1" s="77"/>
    <row r="367" ht="15.75" customHeight="1" s="77"/>
    <row r="368" ht="15.75" customHeight="1" s="77"/>
    <row r="369" ht="15.75" customHeight="1" s="77"/>
    <row r="370" ht="15.75" customHeight="1" s="77"/>
    <row r="371" ht="15.75" customHeight="1" s="77"/>
    <row r="372" ht="15.75" customHeight="1" s="77"/>
    <row r="373" ht="15.75" customHeight="1" s="77"/>
    <row r="374" ht="15.75" customHeight="1" s="77"/>
    <row r="375" ht="15.75" customHeight="1" s="77"/>
    <row r="376" ht="15.75" customHeight="1" s="77"/>
    <row r="377" ht="15.75" customHeight="1" s="77"/>
    <row r="378" ht="15.75" customHeight="1" s="77"/>
    <row r="379" ht="15.75" customHeight="1" s="77"/>
    <row r="380" ht="15.75" customHeight="1" s="77"/>
    <row r="381" ht="15.75" customHeight="1" s="77"/>
    <row r="382" ht="15.75" customHeight="1" s="77"/>
    <row r="383" ht="15.75" customHeight="1" s="77"/>
    <row r="384" ht="15.75" customHeight="1" s="77"/>
    <row r="385" ht="15.75" customHeight="1" s="77"/>
    <row r="386" ht="15.75" customHeight="1" s="77"/>
    <row r="387" ht="15.75" customHeight="1" s="77"/>
    <row r="388" ht="15.75" customHeight="1" s="77"/>
    <row r="389" ht="15.75" customHeight="1" s="77"/>
    <row r="390" ht="15.75" customHeight="1" s="77"/>
    <row r="391" ht="15.75" customHeight="1" s="77"/>
    <row r="392" ht="15.75" customHeight="1" s="77"/>
    <row r="393" ht="15.75" customHeight="1" s="77"/>
    <row r="394" ht="15.75" customHeight="1" s="77"/>
    <row r="395" ht="15.75" customHeight="1" s="77"/>
    <row r="396" ht="15.75" customHeight="1" s="77"/>
    <row r="397" ht="15.75" customHeight="1" s="77"/>
    <row r="398" ht="15.75" customHeight="1" s="77"/>
    <row r="399" ht="15.75" customHeight="1" s="77"/>
    <row r="400" ht="15.75" customHeight="1" s="77"/>
    <row r="401" ht="15.75" customHeight="1" s="77"/>
    <row r="402" ht="15.75" customHeight="1" s="77"/>
    <row r="403" ht="15.75" customHeight="1" s="77"/>
    <row r="404" ht="15.75" customHeight="1" s="77"/>
    <row r="405" ht="15.75" customHeight="1" s="77"/>
    <row r="406" ht="15.75" customHeight="1" s="77"/>
    <row r="407" ht="15.75" customHeight="1" s="77"/>
    <row r="408" ht="15.75" customHeight="1" s="77"/>
    <row r="409" ht="15.75" customHeight="1" s="77"/>
    <row r="410" ht="15.75" customHeight="1" s="77"/>
    <row r="411" ht="15.75" customHeight="1" s="77"/>
    <row r="412" ht="15.75" customHeight="1" s="77"/>
    <row r="413" ht="15.75" customHeight="1" s="77"/>
    <row r="414" ht="15.75" customHeight="1" s="77"/>
    <row r="415" ht="15.75" customHeight="1" s="77"/>
    <row r="416" ht="15.75" customHeight="1" s="77"/>
    <row r="417" ht="15.75" customHeight="1" s="77"/>
    <row r="418" ht="15.75" customHeight="1" s="77"/>
    <row r="419" ht="15.75" customHeight="1" s="77"/>
    <row r="420" ht="15.75" customHeight="1" s="77"/>
    <row r="421" ht="15.75" customHeight="1" s="77"/>
    <row r="422" ht="15.75" customHeight="1" s="77"/>
    <row r="423" ht="15.75" customHeight="1" s="77"/>
    <row r="424" ht="15.75" customHeight="1" s="77"/>
    <row r="425" ht="15.75" customHeight="1" s="77"/>
    <row r="426" ht="15.75" customHeight="1" s="77"/>
    <row r="427" ht="15.75" customHeight="1" s="77"/>
    <row r="428" ht="15.75" customHeight="1" s="77"/>
    <row r="429" ht="15.75" customHeight="1" s="77"/>
    <row r="430" ht="15.75" customHeight="1" s="77"/>
    <row r="431" ht="15.75" customHeight="1" s="77"/>
    <row r="432" ht="15.75" customHeight="1" s="77"/>
    <row r="433" ht="15.75" customHeight="1" s="77"/>
    <row r="434" ht="15.75" customHeight="1" s="77"/>
    <row r="435" ht="15.75" customHeight="1" s="77"/>
    <row r="436" ht="15.75" customHeight="1" s="77"/>
    <row r="437" ht="15.75" customHeight="1" s="77"/>
    <row r="438" ht="15.75" customHeight="1" s="77"/>
    <row r="439" ht="15.75" customHeight="1" s="77"/>
    <row r="440" ht="15.75" customHeight="1" s="77"/>
    <row r="441" ht="15.75" customHeight="1" s="77"/>
    <row r="442" ht="15.75" customHeight="1" s="77"/>
    <row r="443" ht="15.75" customHeight="1" s="77"/>
    <row r="444" ht="15.75" customHeight="1" s="77"/>
    <row r="445" ht="15.75" customHeight="1" s="77"/>
    <row r="446" ht="15.75" customHeight="1" s="77"/>
    <row r="447" ht="15.75" customHeight="1" s="77"/>
    <row r="448" ht="15.75" customHeight="1" s="77"/>
    <row r="449" ht="15.75" customHeight="1" s="77"/>
    <row r="450" ht="15.75" customHeight="1" s="77"/>
    <row r="451" ht="15.75" customHeight="1" s="77"/>
    <row r="452" ht="15.75" customHeight="1" s="77"/>
    <row r="453" ht="15.75" customHeight="1" s="77"/>
    <row r="454" ht="15.75" customHeight="1" s="77"/>
    <row r="455" ht="15.75" customHeight="1" s="77"/>
    <row r="456" ht="15.75" customHeight="1" s="77"/>
    <row r="457" ht="15.75" customHeight="1" s="77"/>
    <row r="458" ht="15.75" customHeight="1" s="77"/>
    <row r="459" ht="15.75" customHeight="1" s="77"/>
    <row r="460" ht="15.75" customHeight="1" s="77"/>
    <row r="461" ht="15.75" customHeight="1" s="77"/>
    <row r="462" ht="15.75" customHeight="1" s="77"/>
    <row r="463" ht="15.75" customHeight="1" s="77"/>
    <row r="464" ht="15.75" customHeight="1" s="77"/>
    <row r="465" ht="15.75" customHeight="1" s="77"/>
    <row r="466" ht="15.75" customHeight="1" s="77"/>
    <row r="467" ht="15.75" customHeight="1" s="77"/>
    <row r="468" ht="15.75" customHeight="1" s="77"/>
    <row r="469" ht="15.75" customHeight="1" s="77"/>
    <row r="470" ht="15.75" customHeight="1" s="77"/>
    <row r="471" ht="15.75" customHeight="1" s="77"/>
    <row r="472" ht="15.75" customHeight="1" s="77"/>
    <row r="473" ht="15.75" customHeight="1" s="77"/>
    <row r="474" ht="15.75" customHeight="1" s="77"/>
    <row r="475" ht="15.75" customHeight="1" s="77"/>
    <row r="476" ht="15.75" customHeight="1" s="77"/>
    <row r="477" ht="15.75" customHeight="1" s="77"/>
    <row r="478" ht="15.75" customHeight="1" s="77"/>
    <row r="479" ht="15.75" customHeight="1" s="77"/>
    <row r="480" ht="15.75" customHeight="1" s="77"/>
    <row r="481" ht="15.75" customHeight="1" s="77"/>
    <row r="482" ht="15.75" customHeight="1" s="77"/>
    <row r="483" ht="15.75" customHeight="1" s="77"/>
    <row r="484" ht="15.75" customHeight="1" s="77"/>
    <row r="485" ht="15.75" customHeight="1" s="77"/>
    <row r="486" ht="15.75" customHeight="1" s="77"/>
    <row r="487" ht="15.75" customHeight="1" s="77"/>
    <row r="488" ht="15.75" customHeight="1" s="77"/>
    <row r="489" ht="15.75" customHeight="1" s="77"/>
    <row r="490" ht="15.75" customHeight="1" s="77"/>
    <row r="491" ht="15.75" customHeight="1" s="77"/>
    <row r="492" ht="15.75" customHeight="1" s="77"/>
    <row r="493" ht="15.75" customHeight="1" s="77"/>
    <row r="494" ht="15.75" customHeight="1" s="77"/>
    <row r="495" ht="15.75" customHeight="1" s="77"/>
    <row r="496" ht="15.75" customHeight="1" s="77"/>
    <row r="497" ht="15.75" customHeight="1" s="77"/>
    <row r="498" ht="15.75" customHeight="1" s="77"/>
    <row r="499" ht="15.75" customHeight="1" s="77"/>
    <row r="500" ht="15.75" customHeight="1" s="77"/>
    <row r="501" ht="15.75" customHeight="1" s="77"/>
    <row r="502" ht="15.75" customHeight="1" s="77"/>
    <row r="503" ht="15.75" customHeight="1" s="77"/>
    <row r="504" ht="15.75" customHeight="1" s="77"/>
    <row r="505" ht="15.75" customHeight="1" s="77"/>
    <row r="506" ht="15.75" customHeight="1" s="77"/>
    <row r="507" ht="15.75" customHeight="1" s="77"/>
    <row r="508" ht="15.75" customHeight="1" s="77"/>
    <row r="509" ht="15.75" customHeight="1" s="77"/>
    <row r="510" ht="15.75" customHeight="1" s="77"/>
    <row r="511" ht="15.75" customHeight="1" s="77"/>
    <row r="512" ht="15.75" customHeight="1" s="77"/>
    <row r="513" ht="15.75" customHeight="1" s="77"/>
    <row r="514" ht="15.75" customHeight="1" s="77"/>
    <row r="515" ht="15.75" customHeight="1" s="77"/>
    <row r="516" ht="15.75" customHeight="1" s="77"/>
    <row r="517" ht="15.75" customHeight="1" s="77"/>
    <row r="518" ht="15.75" customHeight="1" s="77"/>
    <row r="519" ht="15.75" customHeight="1" s="77"/>
    <row r="520" ht="15.75" customHeight="1" s="77"/>
    <row r="521" ht="15.75" customHeight="1" s="77"/>
    <row r="522" ht="15.75" customHeight="1" s="77"/>
    <row r="523" ht="15.75" customHeight="1" s="77"/>
    <row r="524" ht="15.75" customHeight="1" s="77"/>
    <row r="525" ht="15.75" customHeight="1" s="77"/>
    <row r="526" ht="15.75" customHeight="1" s="77"/>
    <row r="527" ht="15.75" customHeight="1" s="77"/>
    <row r="528" ht="15.75" customHeight="1" s="77"/>
    <row r="529" ht="15.75" customHeight="1" s="77"/>
    <row r="530" ht="15.75" customHeight="1" s="77"/>
    <row r="531" ht="15.75" customHeight="1" s="77"/>
    <row r="532" ht="15.75" customHeight="1" s="77"/>
    <row r="533" ht="15.75" customHeight="1" s="77"/>
    <row r="534" ht="15.75" customHeight="1" s="77"/>
    <row r="535" ht="15.75" customHeight="1" s="77"/>
    <row r="536" ht="15.75" customHeight="1" s="77"/>
    <row r="537" ht="15.75" customHeight="1" s="77"/>
    <row r="538" ht="15.75" customHeight="1" s="77"/>
    <row r="539" ht="15.75" customHeight="1" s="77"/>
    <row r="540" ht="15.75" customHeight="1" s="77"/>
    <row r="541" ht="15.75" customHeight="1" s="77"/>
    <row r="542" ht="15.75" customHeight="1" s="77"/>
    <row r="543" ht="15.75" customHeight="1" s="77"/>
    <row r="544" ht="15.75" customHeight="1" s="77"/>
    <row r="545" ht="15.75" customHeight="1" s="77"/>
    <row r="546" ht="15.75" customHeight="1" s="77"/>
    <row r="547" ht="15.75" customHeight="1" s="77"/>
    <row r="548" ht="15.75" customHeight="1" s="77"/>
    <row r="549" ht="15.75" customHeight="1" s="77"/>
    <row r="550" ht="15.75" customHeight="1" s="77"/>
    <row r="551" ht="15.75" customHeight="1" s="77"/>
    <row r="552" ht="15.75" customHeight="1" s="77"/>
    <row r="553" ht="15.75" customHeight="1" s="77"/>
    <row r="554" ht="15.75" customHeight="1" s="77"/>
    <row r="555" ht="15.75" customHeight="1" s="77"/>
    <row r="556" ht="15.75" customHeight="1" s="77"/>
    <row r="557" ht="15.75" customHeight="1" s="77"/>
    <row r="558" ht="15.75" customHeight="1" s="77"/>
    <row r="559" ht="15.75" customHeight="1" s="77"/>
    <row r="560" ht="15.75" customHeight="1" s="77"/>
    <row r="561" ht="15.75" customHeight="1" s="77"/>
    <row r="562" ht="15.75" customHeight="1" s="77"/>
    <row r="563" ht="15.75" customHeight="1" s="77"/>
    <row r="564" ht="15.75" customHeight="1" s="77"/>
    <row r="565" ht="15.75" customHeight="1" s="77"/>
    <row r="566" ht="15.75" customHeight="1" s="77"/>
    <row r="567" ht="15.75" customHeight="1" s="77"/>
    <row r="568" ht="15.75" customHeight="1" s="77"/>
    <row r="569" ht="15.75" customHeight="1" s="77"/>
    <row r="570" ht="15.75" customHeight="1" s="77"/>
    <row r="571" ht="15.75" customHeight="1" s="77"/>
    <row r="572" ht="15.75" customHeight="1" s="77"/>
    <row r="573" ht="15.75" customHeight="1" s="77"/>
    <row r="574" ht="15.75" customHeight="1" s="77"/>
    <row r="575" ht="15.75" customHeight="1" s="77"/>
    <row r="576" ht="15.75" customHeight="1" s="77"/>
    <row r="577" ht="15.75" customHeight="1" s="77"/>
    <row r="578" ht="15.75" customHeight="1" s="77"/>
    <row r="579" ht="15.75" customHeight="1" s="77"/>
    <row r="580" ht="15.75" customHeight="1" s="77"/>
    <row r="581" ht="15.75" customHeight="1" s="77"/>
    <row r="582" ht="15.75" customHeight="1" s="77"/>
    <row r="583" ht="15.75" customHeight="1" s="77"/>
    <row r="584" ht="15.75" customHeight="1" s="77"/>
    <row r="585" ht="15.75" customHeight="1" s="77"/>
    <row r="586" ht="15.75" customHeight="1" s="77"/>
    <row r="587" ht="15.75" customHeight="1" s="77"/>
    <row r="588" ht="15.75" customHeight="1" s="77"/>
    <row r="589" ht="15.75" customHeight="1" s="77"/>
    <row r="590" ht="15.75" customHeight="1" s="77"/>
    <row r="591" ht="15.75" customHeight="1" s="77"/>
    <row r="592" ht="15.75" customHeight="1" s="77"/>
    <row r="593" ht="15.75" customHeight="1" s="77"/>
    <row r="594" ht="15.75" customHeight="1" s="77"/>
    <row r="595" ht="15.75" customHeight="1" s="77"/>
    <row r="596" ht="15.75" customHeight="1" s="77"/>
    <row r="597" ht="15.75" customHeight="1" s="77"/>
    <row r="598" ht="15.75" customHeight="1" s="77"/>
    <row r="599" ht="15.75" customHeight="1" s="77"/>
    <row r="600" ht="15.75" customHeight="1" s="77"/>
    <row r="601" ht="15.75" customHeight="1" s="77"/>
    <row r="602" ht="15.75" customHeight="1" s="77"/>
    <row r="603" ht="15.75" customHeight="1" s="77"/>
    <row r="604" ht="15.75" customHeight="1" s="77"/>
    <row r="605" ht="15.75" customHeight="1" s="77"/>
    <row r="606" ht="15.75" customHeight="1" s="77"/>
    <row r="607" ht="15.75" customHeight="1" s="77"/>
    <row r="608" ht="15.75" customHeight="1" s="77"/>
    <row r="609" ht="15.75" customHeight="1" s="77"/>
    <row r="610" ht="15.75" customHeight="1" s="77"/>
    <row r="611" ht="15.75" customHeight="1" s="77"/>
    <row r="612" ht="15.75" customHeight="1" s="77"/>
    <row r="613" ht="15.75" customHeight="1" s="77"/>
    <row r="614" ht="15.75" customHeight="1" s="77"/>
    <row r="615" ht="15.75" customHeight="1" s="77"/>
    <row r="616" ht="15.75" customHeight="1" s="77"/>
    <row r="617" ht="15.75" customHeight="1" s="77"/>
    <row r="618" ht="15.75" customHeight="1" s="77"/>
    <row r="619" ht="15.75" customHeight="1" s="77"/>
    <row r="620" ht="15.75" customHeight="1" s="77"/>
    <row r="621" ht="15.75" customHeight="1" s="77"/>
    <row r="622" ht="15.75" customHeight="1" s="77"/>
    <row r="623" ht="15.75" customHeight="1" s="77"/>
    <row r="624" ht="15.75" customHeight="1" s="77"/>
    <row r="625" ht="15.75" customHeight="1" s="77"/>
    <row r="626" ht="15.75" customHeight="1" s="77"/>
    <row r="627" ht="15.75" customHeight="1" s="77"/>
    <row r="628" ht="15.75" customHeight="1" s="77"/>
    <row r="629" ht="15.75" customHeight="1" s="77"/>
    <row r="630" ht="15.75" customHeight="1" s="77"/>
    <row r="631" ht="15.75" customHeight="1" s="77"/>
    <row r="632" ht="15.75" customHeight="1" s="77"/>
    <row r="633" ht="15.75" customHeight="1" s="77"/>
    <row r="634" ht="15.75" customHeight="1" s="77"/>
    <row r="635" ht="15.75" customHeight="1" s="77"/>
    <row r="636" ht="15.75" customHeight="1" s="77"/>
    <row r="637" ht="15.75" customHeight="1" s="77"/>
    <row r="638" ht="15.75" customHeight="1" s="77"/>
    <row r="639" ht="15.75" customHeight="1" s="77"/>
    <row r="640" ht="15.75" customHeight="1" s="77"/>
    <row r="641" ht="15.75" customHeight="1" s="77"/>
    <row r="642" ht="15.75" customHeight="1" s="77"/>
    <row r="643" ht="15.75" customHeight="1" s="77"/>
    <row r="644" ht="15.75" customHeight="1" s="77"/>
    <row r="645" ht="15.75" customHeight="1" s="77"/>
    <row r="646" ht="15.75" customHeight="1" s="77"/>
    <row r="647" ht="15.75" customHeight="1" s="77"/>
    <row r="648" ht="15.75" customHeight="1" s="77"/>
    <row r="649" ht="15.75" customHeight="1" s="77"/>
    <row r="650" ht="15.75" customHeight="1" s="77"/>
    <row r="651" ht="15.75" customHeight="1" s="77"/>
    <row r="652" ht="15.75" customHeight="1" s="77"/>
    <row r="653" ht="15.75" customHeight="1" s="77"/>
    <row r="654" ht="15.75" customHeight="1" s="77"/>
    <row r="655" ht="15.75" customHeight="1" s="77"/>
    <row r="656" ht="15.75" customHeight="1" s="77"/>
    <row r="657" ht="15.75" customHeight="1" s="77"/>
    <row r="658" ht="15.75" customHeight="1" s="77"/>
    <row r="659" ht="15.75" customHeight="1" s="77"/>
    <row r="660" ht="15.75" customHeight="1" s="77"/>
    <row r="661" ht="15.75" customHeight="1" s="77"/>
    <row r="662" ht="15.75" customHeight="1" s="77"/>
    <row r="663" ht="15.75" customHeight="1" s="77"/>
    <row r="664" ht="15.75" customHeight="1" s="77"/>
    <row r="665" ht="15.75" customHeight="1" s="77"/>
    <row r="666" ht="15.75" customHeight="1" s="77"/>
    <row r="667" ht="15.75" customHeight="1" s="77"/>
    <row r="668" ht="15.75" customHeight="1" s="77"/>
    <row r="669" ht="15.75" customHeight="1" s="77"/>
    <row r="670" ht="15.75" customHeight="1" s="77"/>
    <row r="671" ht="15.75" customHeight="1" s="77"/>
    <row r="672" ht="15.75" customHeight="1" s="77"/>
    <row r="673" ht="15.75" customHeight="1" s="77"/>
    <row r="674" ht="15.75" customHeight="1" s="77"/>
    <row r="675" ht="15.75" customHeight="1" s="77"/>
    <row r="676" ht="15.75" customHeight="1" s="77"/>
    <row r="677" ht="15.75" customHeight="1" s="77"/>
    <row r="678" ht="15.75" customHeight="1" s="77"/>
    <row r="679" ht="15.75" customHeight="1" s="77"/>
    <row r="680" ht="15.75" customHeight="1" s="77"/>
    <row r="681" ht="15.75" customHeight="1" s="77"/>
    <row r="682" ht="15.75" customHeight="1" s="77"/>
    <row r="683" ht="15.75" customHeight="1" s="77"/>
    <row r="684" ht="15.75" customHeight="1" s="77"/>
    <row r="685" ht="15.75" customHeight="1" s="77"/>
    <row r="686" ht="15.75" customHeight="1" s="77"/>
    <row r="687" ht="15.75" customHeight="1" s="77"/>
    <row r="688" ht="15.75" customHeight="1" s="77"/>
    <row r="689" ht="15.75" customHeight="1" s="77"/>
    <row r="690" ht="15.75" customHeight="1" s="77"/>
    <row r="691" ht="15.75" customHeight="1" s="77"/>
    <row r="692" ht="15.75" customHeight="1" s="77"/>
    <row r="693" ht="15.75" customHeight="1" s="77"/>
    <row r="694" ht="15.75" customHeight="1" s="77"/>
    <row r="695" ht="15.75" customHeight="1" s="77"/>
    <row r="696" ht="15.75" customHeight="1" s="77"/>
    <row r="697" ht="15.75" customHeight="1" s="77"/>
    <row r="698" ht="15.75" customHeight="1" s="77"/>
    <row r="699" ht="15.75" customHeight="1" s="77"/>
    <row r="700" ht="15.75" customHeight="1" s="77"/>
    <row r="701" ht="15.75" customHeight="1" s="77"/>
    <row r="702" ht="15.75" customHeight="1" s="77"/>
    <row r="703" ht="15.75" customHeight="1" s="77"/>
    <row r="704" ht="15.75" customHeight="1" s="77"/>
    <row r="705" ht="15.75" customHeight="1" s="77"/>
    <row r="706" ht="15.75" customHeight="1" s="77"/>
    <row r="707" ht="15.75" customHeight="1" s="77"/>
    <row r="708" ht="15.75" customHeight="1" s="77"/>
    <row r="709" ht="15.75" customHeight="1" s="77"/>
    <row r="710" ht="15.75" customHeight="1" s="77"/>
    <row r="711" ht="15.75" customHeight="1" s="77"/>
    <row r="712" ht="15.75" customHeight="1" s="77"/>
    <row r="713" ht="15.75" customHeight="1" s="77"/>
    <row r="714" ht="15.75" customHeight="1" s="77"/>
    <row r="715" ht="15.75" customHeight="1" s="77"/>
    <row r="716" ht="15.75" customHeight="1" s="77"/>
    <row r="717" ht="15.75" customHeight="1" s="77"/>
    <row r="718" ht="15.75" customHeight="1" s="77"/>
    <row r="719" ht="15.75" customHeight="1" s="77"/>
    <row r="720" ht="15.75" customHeight="1" s="77"/>
    <row r="721" ht="15.75" customHeight="1" s="77"/>
    <row r="722" ht="15.75" customHeight="1" s="77"/>
    <row r="723" ht="15.75" customHeight="1" s="77"/>
    <row r="724" ht="15.75" customHeight="1" s="77"/>
    <row r="725" ht="15.75" customHeight="1" s="77"/>
    <row r="726" ht="15.75" customHeight="1" s="77"/>
    <row r="727" ht="15.75" customHeight="1" s="77"/>
    <row r="728" ht="15.75" customHeight="1" s="77"/>
    <row r="729" ht="15.75" customHeight="1" s="77"/>
    <row r="730" ht="15.75" customHeight="1" s="77"/>
    <row r="731" ht="15.75" customHeight="1" s="77"/>
    <row r="732" ht="15.75" customHeight="1" s="77"/>
    <row r="733" ht="15.75" customHeight="1" s="77"/>
    <row r="734" ht="15.75" customHeight="1" s="77"/>
    <row r="735" ht="15.75" customHeight="1" s="77"/>
    <row r="736" ht="15.75" customHeight="1" s="77"/>
    <row r="737" ht="15.75" customHeight="1" s="77"/>
    <row r="738" ht="15.75" customHeight="1" s="77"/>
    <row r="739" ht="15.75" customHeight="1" s="77"/>
    <row r="740" ht="15.75" customHeight="1" s="77"/>
    <row r="741" ht="15.75" customHeight="1" s="77"/>
    <row r="742" ht="15.75" customHeight="1" s="77"/>
    <row r="743" ht="15.75" customHeight="1" s="77"/>
    <row r="744" ht="15.75" customHeight="1" s="77"/>
    <row r="745" ht="15.75" customHeight="1" s="77"/>
    <row r="746" ht="15.75" customHeight="1" s="77"/>
    <row r="747" ht="15.75" customHeight="1" s="77"/>
    <row r="748" ht="15.75" customHeight="1" s="77"/>
    <row r="749" ht="15.75" customHeight="1" s="77"/>
    <row r="750" ht="15.75" customHeight="1" s="77"/>
    <row r="751" ht="15.75" customHeight="1" s="77"/>
    <row r="752" ht="15.75" customHeight="1" s="77"/>
    <row r="753" ht="15.75" customHeight="1" s="77"/>
    <row r="754" ht="15.75" customHeight="1" s="77"/>
    <row r="755" ht="15.75" customHeight="1" s="77"/>
    <row r="756" ht="15.75" customHeight="1" s="77"/>
    <row r="757" ht="15.75" customHeight="1" s="77"/>
    <row r="758" ht="15.75" customHeight="1" s="77"/>
    <row r="759" ht="15.75" customHeight="1" s="77"/>
    <row r="760" ht="15.75" customHeight="1" s="77"/>
    <row r="761" ht="15.75" customHeight="1" s="77"/>
    <row r="762" ht="15.75" customHeight="1" s="77"/>
    <row r="763" ht="15.75" customHeight="1" s="77"/>
    <row r="764" ht="15.75" customHeight="1" s="77"/>
    <row r="765" ht="15.75" customHeight="1" s="77"/>
    <row r="766" ht="15.75" customHeight="1" s="77"/>
    <row r="767" ht="15.75" customHeight="1" s="77"/>
    <row r="768" ht="15.75" customHeight="1" s="77"/>
    <row r="769" ht="15.75" customHeight="1" s="77"/>
    <row r="770" ht="15.75" customHeight="1" s="77"/>
    <row r="771" ht="15.75" customHeight="1" s="77"/>
    <row r="772" ht="15.75" customHeight="1" s="77"/>
    <row r="773" ht="15.75" customHeight="1" s="77"/>
    <row r="774" ht="15.75" customHeight="1" s="77"/>
    <row r="775" ht="15.75" customHeight="1" s="77"/>
    <row r="776" ht="15.75" customHeight="1" s="77"/>
    <row r="777" ht="15.75" customHeight="1" s="77"/>
    <row r="778" ht="15.75" customHeight="1" s="77"/>
    <row r="779" ht="15.75" customHeight="1" s="77"/>
    <row r="780" ht="15.75" customHeight="1" s="77"/>
    <row r="781" ht="15.75" customHeight="1" s="77"/>
    <row r="782" ht="15.75" customHeight="1" s="77"/>
    <row r="783" ht="15.75" customHeight="1" s="77"/>
    <row r="784" ht="15.75" customHeight="1" s="77"/>
    <row r="785" ht="15.75" customHeight="1" s="77"/>
    <row r="786" ht="15.75" customHeight="1" s="77"/>
    <row r="787" ht="15.75" customHeight="1" s="77"/>
    <row r="788" ht="15.75" customHeight="1" s="77"/>
    <row r="789" ht="15.75" customHeight="1" s="77"/>
    <row r="790" ht="15.75" customHeight="1" s="77"/>
    <row r="791" ht="15.75" customHeight="1" s="77"/>
    <row r="792" ht="15.75" customHeight="1" s="77"/>
    <row r="793" ht="15.75" customHeight="1" s="77"/>
    <row r="794" ht="15.75" customHeight="1" s="77"/>
    <row r="795" ht="15.75" customHeight="1" s="77"/>
    <row r="796" ht="15.75" customHeight="1" s="77"/>
    <row r="797" ht="15.75" customHeight="1" s="77"/>
    <row r="798" ht="15.75" customHeight="1" s="77"/>
    <row r="799" ht="15.75" customHeight="1" s="77"/>
    <row r="800" ht="15.75" customHeight="1" s="77"/>
    <row r="801" ht="15.75" customHeight="1" s="77"/>
    <row r="802" ht="15.75" customHeight="1" s="77"/>
    <row r="803" ht="15.75" customHeight="1" s="77"/>
    <row r="804" ht="15.75" customHeight="1" s="77"/>
    <row r="805" ht="15.75" customHeight="1" s="77"/>
    <row r="806" ht="15.75" customHeight="1" s="77"/>
    <row r="807" ht="15.75" customHeight="1" s="77"/>
    <row r="808" ht="15.75" customHeight="1" s="77"/>
    <row r="809" ht="15.75" customHeight="1" s="77"/>
    <row r="810" ht="15.75" customHeight="1" s="77"/>
    <row r="811" ht="15.75" customHeight="1" s="77"/>
    <row r="812" ht="15.75" customHeight="1" s="77"/>
    <row r="813" ht="15.75" customHeight="1" s="77"/>
    <row r="814" ht="15.75" customHeight="1" s="77"/>
    <row r="815" ht="15.75" customHeight="1" s="77"/>
    <row r="816" ht="15.75" customHeight="1" s="77"/>
    <row r="817" ht="15.75" customHeight="1" s="77"/>
    <row r="818" ht="15.75" customHeight="1" s="77"/>
    <row r="819" ht="15.75" customHeight="1" s="77"/>
    <row r="820" ht="15.75" customHeight="1" s="77"/>
    <row r="821" ht="15.75" customHeight="1" s="77"/>
    <row r="822" ht="15.75" customHeight="1" s="77"/>
    <row r="823" ht="15.75" customHeight="1" s="77"/>
    <row r="824" ht="15.75" customHeight="1" s="77"/>
    <row r="825" ht="15.75" customHeight="1" s="77"/>
    <row r="826" ht="15.75" customHeight="1" s="77"/>
    <row r="827" ht="15.75" customHeight="1" s="77"/>
    <row r="828" ht="15.75" customHeight="1" s="77"/>
    <row r="829" ht="15.75" customHeight="1" s="77"/>
    <row r="830" ht="15.75" customHeight="1" s="77"/>
    <row r="831" ht="15.75" customHeight="1" s="77"/>
    <row r="832" ht="15.75" customHeight="1" s="77"/>
    <row r="833" ht="15.75" customHeight="1" s="77"/>
    <row r="834" ht="15.75" customHeight="1" s="77"/>
    <row r="835" ht="15.75" customHeight="1" s="77"/>
    <row r="836" ht="15.75" customHeight="1" s="77"/>
    <row r="837" ht="15.75" customHeight="1" s="77"/>
    <row r="838" ht="15.75" customHeight="1" s="77"/>
    <row r="839" ht="15.75" customHeight="1" s="77"/>
    <row r="840" ht="15.75" customHeight="1" s="77"/>
    <row r="841" ht="15.75" customHeight="1" s="77"/>
    <row r="842" ht="15.75" customHeight="1" s="77"/>
    <row r="843" ht="15.75" customHeight="1" s="77"/>
    <row r="844" ht="15.75" customHeight="1" s="77"/>
    <row r="845" ht="15.75" customHeight="1" s="77"/>
    <row r="846" ht="15.75" customHeight="1" s="77"/>
    <row r="847" ht="15.75" customHeight="1" s="77"/>
    <row r="848" ht="15.75" customHeight="1" s="77"/>
    <row r="849" ht="15.75" customHeight="1" s="77"/>
    <row r="850" ht="15.75" customHeight="1" s="77"/>
    <row r="851" ht="15.75" customHeight="1" s="77"/>
    <row r="852" ht="15.75" customHeight="1" s="77"/>
    <row r="853" ht="15.75" customHeight="1" s="77"/>
    <row r="854" ht="15.75" customHeight="1" s="77"/>
    <row r="855" ht="15.75" customHeight="1" s="77"/>
    <row r="856" ht="15.75" customHeight="1" s="77"/>
    <row r="857" ht="15.75" customHeight="1" s="77"/>
    <row r="858" ht="15.75" customHeight="1" s="77"/>
    <row r="859" ht="15.75" customHeight="1" s="77"/>
    <row r="860" ht="15.75" customHeight="1" s="77"/>
    <row r="861" ht="15.75" customHeight="1" s="77"/>
    <row r="862" ht="15.75" customHeight="1" s="77"/>
    <row r="863" ht="15.75" customHeight="1" s="77"/>
    <row r="864" ht="15.75" customHeight="1" s="77"/>
    <row r="865" ht="15.75" customHeight="1" s="77"/>
    <row r="866" ht="15.75" customHeight="1" s="77"/>
    <row r="867" ht="15.75" customHeight="1" s="77"/>
    <row r="868" ht="15.75" customHeight="1" s="77"/>
    <row r="869" ht="15.75" customHeight="1" s="77"/>
    <row r="870" ht="15.75" customHeight="1" s="77"/>
    <row r="871" ht="15.75" customHeight="1" s="77"/>
    <row r="872" ht="15.75" customHeight="1" s="77"/>
    <row r="873" ht="15.75" customHeight="1" s="77"/>
    <row r="874" ht="15.75" customHeight="1" s="77"/>
    <row r="875" ht="15.75" customHeight="1" s="77"/>
    <row r="876" ht="15.75" customHeight="1" s="77"/>
    <row r="877" ht="15.75" customHeight="1" s="77"/>
    <row r="878" ht="15.75" customHeight="1" s="77"/>
    <row r="879" ht="15.75" customHeight="1" s="77"/>
    <row r="880" ht="15.75" customHeight="1" s="77"/>
    <row r="881" ht="15.75" customHeight="1" s="77"/>
    <row r="882" ht="15.75" customHeight="1" s="77"/>
    <row r="883" ht="15.75" customHeight="1" s="77"/>
    <row r="884" ht="15.75" customHeight="1" s="77"/>
    <row r="885" ht="15.75" customHeight="1" s="77"/>
    <row r="886" ht="15.75" customHeight="1" s="77"/>
    <row r="887" ht="15.75" customHeight="1" s="77"/>
    <row r="888" ht="15.75" customHeight="1" s="77"/>
    <row r="889" ht="15.75" customHeight="1" s="77"/>
    <row r="890" ht="15.75" customHeight="1" s="77"/>
    <row r="891" ht="15.75" customHeight="1" s="77"/>
    <row r="892" ht="15.75" customHeight="1" s="77"/>
    <row r="893" ht="15.75" customHeight="1" s="77"/>
    <row r="894" ht="15.75" customHeight="1" s="77"/>
    <row r="895" ht="15.75" customHeight="1" s="77"/>
    <row r="896" ht="15.75" customHeight="1" s="77"/>
    <row r="897" ht="15.75" customHeight="1" s="77"/>
    <row r="898" ht="15.75" customHeight="1" s="77"/>
    <row r="899" ht="15.75" customHeight="1" s="77"/>
    <row r="900" ht="15.75" customHeight="1" s="77"/>
    <row r="901" ht="15.75" customHeight="1" s="77"/>
    <row r="902" ht="15.75" customHeight="1" s="77"/>
    <row r="903" ht="15.75" customHeight="1" s="77"/>
    <row r="904" ht="15.75" customHeight="1" s="77"/>
    <row r="905" ht="15.75" customHeight="1" s="77"/>
    <row r="906" ht="15.75" customHeight="1" s="77"/>
    <row r="907" ht="15.75" customHeight="1" s="77"/>
    <row r="908" ht="15.75" customHeight="1" s="77"/>
    <row r="909" ht="15.75" customHeight="1" s="77"/>
    <row r="910" ht="15.75" customHeight="1" s="77"/>
    <row r="911" ht="15.75" customHeight="1" s="77"/>
    <row r="912" ht="15.75" customHeight="1" s="77"/>
    <row r="913" ht="15.75" customHeight="1" s="77"/>
    <row r="914" ht="15.75" customHeight="1" s="77"/>
    <row r="915" ht="15.75" customHeight="1" s="77"/>
    <row r="916" ht="15.75" customHeight="1" s="77"/>
    <row r="917" ht="15.75" customHeight="1" s="77"/>
    <row r="918" ht="15.75" customHeight="1" s="77"/>
    <row r="919" ht="15.75" customHeight="1" s="77"/>
    <row r="920" ht="15.75" customHeight="1" s="77"/>
    <row r="921" ht="15.75" customHeight="1" s="77"/>
    <row r="922" ht="15.75" customHeight="1" s="77"/>
    <row r="923" ht="15.75" customHeight="1" s="77"/>
    <row r="924" ht="15.75" customHeight="1" s="77"/>
    <row r="925" ht="15.75" customHeight="1" s="77"/>
    <row r="926" ht="15.75" customHeight="1" s="77"/>
    <row r="927" ht="15.75" customHeight="1" s="77"/>
    <row r="928" ht="15.75" customHeight="1" s="77"/>
    <row r="929" ht="15.75" customHeight="1" s="77"/>
    <row r="930" ht="15.75" customHeight="1" s="77"/>
    <row r="931" ht="15.75" customHeight="1" s="77"/>
    <row r="932" ht="15.75" customHeight="1" s="77"/>
    <row r="933" ht="15.75" customHeight="1" s="77"/>
    <row r="934" ht="15.75" customHeight="1" s="77"/>
    <row r="935" ht="15.75" customHeight="1" s="77"/>
    <row r="936" ht="15.75" customHeight="1" s="77"/>
    <row r="937" ht="15.75" customHeight="1" s="77"/>
    <row r="938" ht="15.75" customHeight="1" s="77"/>
    <row r="939" ht="15.75" customHeight="1" s="77"/>
    <row r="940" ht="15.75" customHeight="1" s="77"/>
    <row r="941" ht="15.75" customHeight="1" s="77"/>
    <row r="942" ht="15.75" customHeight="1" s="77"/>
    <row r="943" ht="15.75" customHeight="1" s="77"/>
    <row r="944" ht="15.75" customHeight="1" s="77"/>
    <row r="945" ht="15.75" customHeight="1" s="77"/>
    <row r="946" ht="15.75" customHeight="1" s="77"/>
    <row r="947" ht="15.75" customHeight="1" s="77"/>
    <row r="948" ht="15.75" customHeight="1" s="77"/>
    <row r="949" ht="15.75" customHeight="1" s="77"/>
    <row r="950" ht="15.75" customHeight="1" s="77"/>
    <row r="951" ht="15.75" customHeight="1" s="77"/>
    <row r="952" ht="15.75" customHeight="1" s="77"/>
    <row r="953" ht="15.75" customHeight="1" s="77"/>
    <row r="954" ht="15.75" customHeight="1" s="77"/>
    <row r="955" ht="15.75" customHeight="1" s="77"/>
    <row r="956" ht="15.75" customHeight="1" s="77"/>
    <row r="957" ht="15.75" customHeight="1" s="77"/>
    <row r="958" ht="15.75" customHeight="1" s="77"/>
    <row r="959" ht="15.75" customHeight="1" s="77"/>
    <row r="960" ht="15.75" customHeight="1" s="77"/>
    <row r="961" ht="15.75" customHeight="1" s="77"/>
    <row r="962" ht="15.75" customHeight="1" s="77"/>
    <row r="963" ht="15.75" customHeight="1" s="77"/>
    <row r="964" ht="15.75" customHeight="1" s="77"/>
    <row r="965" ht="15.75" customHeight="1" s="77"/>
    <row r="966" ht="15.75" customHeight="1" s="77"/>
    <row r="967" ht="15.75" customHeight="1" s="77"/>
    <row r="968" ht="15.75" customHeight="1" s="77"/>
    <row r="969" ht="15.75" customHeight="1" s="77"/>
    <row r="970" ht="15.75" customHeight="1" s="77"/>
    <row r="971" ht="15.75" customHeight="1" s="77"/>
    <row r="972" ht="15.75" customHeight="1" s="77"/>
    <row r="973" ht="15.75" customHeight="1" s="77"/>
    <row r="974" ht="15.75" customHeight="1" s="77"/>
    <row r="975" ht="15.75" customHeight="1" s="77"/>
    <row r="976" ht="15.75" customHeight="1" s="77"/>
    <row r="977" ht="15.75" customHeight="1" s="77"/>
    <row r="978" ht="15.75" customHeight="1" s="77"/>
    <row r="979" ht="15.75" customHeight="1" s="77"/>
    <row r="980" ht="15.75" customHeight="1" s="77"/>
    <row r="981" ht="15.75" customHeight="1" s="77"/>
    <row r="982" ht="15.75" customHeight="1" s="77"/>
    <row r="983" ht="15.75" customHeight="1" s="77"/>
    <row r="984" ht="15.75" customHeight="1" s="77"/>
    <row r="985" ht="15.75" customHeight="1" s="77"/>
    <row r="986" ht="15.75" customHeight="1" s="77"/>
    <row r="987" ht="15.75" customHeight="1" s="77"/>
    <row r="988" ht="15.75" customHeight="1" s="77"/>
    <row r="989" ht="15.75" customHeight="1" s="77"/>
    <row r="990" ht="15.75" customHeight="1" s="77"/>
    <row r="991" ht="15.75" customHeight="1" s="77"/>
    <row r="992" ht="15.75" customHeight="1" s="77"/>
    <row r="993" ht="15.75" customHeight="1" s="77"/>
    <row r="994" ht="15.75" customHeight="1" s="77"/>
    <row r="995" ht="15.75" customHeight="1" s="77"/>
    <row r="996" ht="15.75" customHeight="1" s="77"/>
    <row r="997" ht="15.75" customHeight="1" s="77"/>
    <row r="998" ht="15.75" customHeight="1" s="77"/>
    <row r="999" ht="15.75" customHeight="1" s="77"/>
    <row r="1000" ht="15.75" customHeight="1" s="77"/>
  </sheetData>
  <mergeCells count="4">
    <mergeCell ref="A1:E1"/>
    <mergeCell ref="A3:E3"/>
    <mergeCell ref="A14:E14"/>
    <mergeCell ref="A22:E22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77" min="1" max="1"/>
    <col width="10" customWidth="1" style="77" min="2" max="2"/>
    <col width="18" customWidth="1" style="77" min="3" max="8"/>
    <col width="8.859999999999999" customWidth="1" style="77" min="9" max="26"/>
  </cols>
  <sheetData>
    <row r="1" ht="30" customHeight="1" s="77">
      <c r="A1" s="78" t="inlineStr">
        <is>
          <t>2️⃣ DONNÉES HISTORIQUES (3 DERNIÈRES ANNÉES)</t>
        </is>
      </c>
    </row>
    <row r="3" ht="24.75" customHeight="1" s="77">
      <c r="A3" s="80" t="inlineStr">
        <is>
          <t>💡 Si votre entreprise a moins de 3 ans, remplissez uniquement les années disponibles.</t>
        </is>
      </c>
    </row>
    <row r="5">
      <c r="A5" s="28" t="inlineStr">
        <is>
          <t>INDICATEUR</t>
        </is>
      </c>
      <c r="B5" s="28" t="inlineStr">
        <is>
          <t>Unité</t>
        </is>
      </c>
      <c r="C5" s="28" t="inlineStr">
        <is>
          <t>Année N-2</t>
        </is>
      </c>
      <c r="D5" s="28" t="inlineStr">
        <is>
          <t>Année N-1</t>
        </is>
      </c>
      <c r="E5" s="28" t="inlineStr">
        <is>
          <t>Année N</t>
        </is>
      </c>
      <c r="F5" s="28" t="inlineStr">
        <is>
          <t>Exemple GOTCHE (2022)</t>
        </is>
      </c>
      <c r="G5" s="28" t="inlineStr">
        <is>
          <t>Exemple GOTCHE (2023)</t>
        </is>
      </c>
      <c r="H5" s="28" t="inlineStr">
        <is>
          <t>Exemple GOTCHE (2024)</t>
        </is>
      </c>
    </row>
    <row r="6">
      <c r="A6" s="81" t="inlineStr">
        <is>
          <t>💰 REVENUS</t>
        </is>
      </c>
    </row>
    <row r="7">
      <c r="A7" s="14" t="inlineStr">
        <is>
          <t>Chiffre d'Affaires Total</t>
        </is>
      </c>
      <c r="B7" s="35" t="inlineStr">
        <is>
          <t>XOF</t>
        </is>
      </c>
      <c r="C7" s="31" t="n">
        <v>42000000</v>
      </c>
      <c r="D7" s="31" t="n">
        <v>85000000</v>
      </c>
      <c r="E7" s="31" t="n">
        <v>156000000</v>
      </c>
      <c r="F7" s="32" t="inlineStr">
        <is>
          <t>8 500 000</t>
        </is>
      </c>
      <c r="G7" s="32" t="inlineStr">
        <is>
          <t>15 000 000</t>
        </is>
      </c>
      <c r="H7" s="32" t="inlineStr">
        <is>
          <t>32 000 000</t>
        </is>
      </c>
    </row>
    <row r="8">
      <c r="A8" s="14" t="inlineStr">
        <is>
          <t>dont : Produit 1</t>
        </is>
      </c>
      <c r="B8" s="35" t="inlineStr">
        <is>
          <t>XOF</t>
        </is>
      </c>
      <c r="C8" s="31" t="n">
        <v>28000000</v>
      </c>
      <c r="D8" s="31" t="n">
        <v>55000000</v>
      </c>
      <c r="E8" s="31" t="n">
        <v>101000000</v>
      </c>
      <c r="F8" s="32" t="inlineStr">
        <is>
          <t>5 000 000</t>
        </is>
      </c>
      <c r="G8" s="32" t="inlineStr">
        <is>
          <t>9 000 000</t>
        </is>
      </c>
      <c r="H8" s="32" t="inlineStr">
        <is>
          <t>20 000 000</t>
        </is>
      </c>
    </row>
    <row r="9">
      <c r="A9" s="14" t="inlineStr">
        <is>
          <t>dont : Produit 2</t>
        </is>
      </c>
      <c r="B9" s="35" t="inlineStr">
        <is>
          <t>XOF</t>
        </is>
      </c>
      <c r="C9" s="31" t="n">
        <v>10000000</v>
      </c>
      <c r="D9" s="31" t="n">
        <v>22000000</v>
      </c>
      <c r="E9" s="31" t="n">
        <v>39000000</v>
      </c>
      <c r="F9" s="32" t="inlineStr">
        <is>
          <t>2 000 000</t>
        </is>
      </c>
      <c r="G9" s="32" t="inlineStr">
        <is>
          <t>3 500 000</t>
        </is>
      </c>
      <c r="H9" s="32" t="inlineStr">
        <is>
          <t>7 000 000</t>
        </is>
      </c>
    </row>
    <row r="10">
      <c r="A10" s="14" t="inlineStr">
        <is>
          <t>dont : Produit 3</t>
        </is>
      </c>
      <c r="B10" s="35" t="inlineStr">
        <is>
          <t>XOF</t>
        </is>
      </c>
      <c r="C10" s="31" t="n">
        <v>4000000</v>
      </c>
      <c r="D10" s="31" t="n">
        <v>8000000</v>
      </c>
      <c r="E10" s="31" t="n">
        <v>16000000</v>
      </c>
      <c r="F10" s="32" t="inlineStr">
        <is>
          <t>1 500 000</t>
        </is>
      </c>
      <c r="G10" s="32" t="inlineStr">
        <is>
          <t>2 500 000</t>
        </is>
      </c>
      <c r="H10" s="32" t="inlineStr">
        <is>
          <t>5 000 000</t>
        </is>
      </c>
    </row>
    <row r="12">
      <c r="A12" s="81" t="inlineStr">
        <is>
          <t>💸 COÛTS &amp; CHARGES</t>
        </is>
      </c>
    </row>
    <row r="13">
      <c r="A13" s="14" t="inlineStr">
        <is>
          <t>Coûts directs/variables</t>
        </is>
      </c>
      <c r="B13" s="35" t="inlineStr">
        <is>
          <t>XOF</t>
        </is>
      </c>
      <c r="C13" s="31" t="n">
        <v>25200000</v>
      </c>
      <c r="D13" s="31" t="n">
        <v>51000000</v>
      </c>
      <c r="E13" s="31" t="n">
        <v>93600000</v>
      </c>
      <c r="F13" s="32" t="inlineStr">
        <is>
          <t>5 100 000</t>
        </is>
      </c>
      <c r="G13" s="32" t="inlineStr">
        <is>
          <t>9 000 000</t>
        </is>
      </c>
      <c r="H13" s="32" t="inlineStr">
        <is>
          <t>19 200 000</t>
        </is>
      </c>
    </row>
    <row r="14">
      <c r="A14" s="14" t="inlineStr">
        <is>
          <t>Charges fixes</t>
        </is>
      </c>
      <c r="B14" s="35" t="inlineStr">
        <is>
          <t>XOF</t>
        </is>
      </c>
      <c r="C14" s="31" t="n">
        <v>14400000</v>
      </c>
      <c r="D14" s="31" t="n">
        <v>28000000</v>
      </c>
      <c r="E14" s="31" t="n">
        <v>48000000</v>
      </c>
      <c r="F14" s="32" t="inlineStr">
        <is>
          <t>2 800 000</t>
        </is>
      </c>
      <c r="G14" s="32" t="inlineStr">
        <is>
          <t>4 500 000</t>
        </is>
      </c>
      <c r="H14" s="32" t="inlineStr">
        <is>
          <t>8 000 000</t>
        </is>
      </c>
    </row>
    <row r="15">
      <c r="A15" s="14" t="inlineStr">
        <is>
          <t>dont : Salaires &amp; charges</t>
        </is>
      </c>
      <c r="B15" s="35" t="inlineStr">
        <is>
          <t>XOF</t>
        </is>
      </c>
      <c r="C15" s="31" t="n">
        <v>9600000</v>
      </c>
      <c r="D15" s="31" t="n">
        <v>18000000</v>
      </c>
      <c r="E15" s="31" t="n">
        <v>31200000</v>
      </c>
      <c r="F15" s="32" t="inlineStr">
        <is>
          <t>1 800 000</t>
        </is>
      </c>
      <c r="G15" s="32" t="inlineStr">
        <is>
          <t>3 000 000</t>
        </is>
      </c>
      <c r="H15" s="32" t="inlineStr">
        <is>
          <t>5 000 000</t>
        </is>
      </c>
    </row>
    <row r="16">
      <c r="A16" s="14" t="inlineStr">
        <is>
          <t>dont : Loyer &amp; utilities</t>
        </is>
      </c>
      <c r="B16" s="35" t="inlineStr">
        <is>
          <t>XOF</t>
        </is>
      </c>
      <c r="C16" s="31" t="n">
        <v>2400000</v>
      </c>
      <c r="D16" s="31" t="n">
        <v>4800000</v>
      </c>
      <c r="E16" s="31" t="n">
        <v>7200000</v>
      </c>
      <c r="F16" s="32" t="inlineStr">
        <is>
          <t>400 000</t>
        </is>
      </c>
      <c r="G16" s="32" t="inlineStr">
        <is>
          <t>600 000</t>
        </is>
      </c>
      <c r="H16" s="32" t="inlineStr">
        <is>
          <t>1 200 000</t>
        </is>
      </c>
    </row>
    <row r="17">
      <c r="A17" s="14" t="inlineStr">
        <is>
          <t>dont : Autres charges</t>
        </is>
      </c>
      <c r="B17" s="35" t="inlineStr">
        <is>
          <t>XOF</t>
        </is>
      </c>
      <c r="C17" s="31" t="n">
        <v>2400000</v>
      </c>
      <c r="D17" s="31" t="n">
        <v>5200000</v>
      </c>
      <c r="E17" s="31" t="n">
        <v>9600000</v>
      </c>
      <c r="F17" s="32" t="inlineStr">
        <is>
          <t>600 000</t>
        </is>
      </c>
      <c r="G17" s="32" t="inlineStr">
        <is>
          <t>900 000</t>
        </is>
      </c>
      <c r="H17" s="32" t="inlineStr">
        <is>
          <t>1 800 000</t>
        </is>
      </c>
    </row>
    <row r="19">
      <c r="A19" s="81" t="inlineStr">
        <is>
          <t>💎 RÉSULTATS</t>
        </is>
      </c>
    </row>
    <row r="20">
      <c r="A20" s="14" t="inlineStr">
        <is>
          <t>Résultat d'exploitation</t>
        </is>
      </c>
      <c r="B20" s="35" t="inlineStr">
        <is>
          <t>XOF</t>
        </is>
      </c>
      <c r="C20" s="31" t="n">
        <v>2400000</v>
      </c>
      <c r="D20" s="31" t="n">
        <v>6000000</v>
      </c>
      <c r="E20" s="31" t="n">
        <v>14400000</v>
      </c>
      <c r="F20" s="32" t="inlineStr">
        <is>
          <t>600 000</t>
        </is>
      </c>
      <c r="G20" s="32" t="inlineStr">
        <is>
          <t>1 500 000</t>
        </is>
      </c>
      <c r="H20" s="32" t="inlineStr">
        <is>
          <t>4 800 000</t>
        </is>
      </c>
    </row>
    <row r="21" ht="15.75" customHeight="1" s="77">
      <c r="A21" s="14" t="inlineStr">
        <is>
          <t>Résultat net</t>
        </is>
      </c>
      <c r="B21" s="35" t="inlineStr">
        <is>
          <t>XOF</t>
        </is>
      </c>
      <c r="C21" s="31" t="n">
        <v>1800000</v>
      </c>
      <c r="D21" s="31" t="n">
        <v>4500000</v>
      </c>
      <c r="E21" s="31" t="n">
        <v>10800000</v>
      </c>
      <c r="F21" s="32" t="inlineStr">
        <is>
          <t>500 000</t>
        </is>
      </c>
      <c r="G21" s="32" t="inlineStr">
        <is>
          <t>1 200 000</t>
        </is>
      </c>
      <c r="H21" s="32" t="inlineStr">
        <is>
          <t>4 000 000</t>
        </is>
      </c>
    </row>
    <row r="22" ht="15.75" customHeight="1" s="77"/>
    <row r="23" ht="15.75" customHeight="1" s="77">
      <c r="A23" s="81" t="inlineStr">
        <is>
          <t>📊 AUTRES INDICATEURS</t>
        </is>
      </c>
    </row>
    <row r="24" ht="15.75" customHeight="1" s="77">
      <c r="A24" s="14" t="inlineStr">
        <is>
          <t>Nombre de clients</t>
        </is>
      </c>
      <c r="B24" s="35" t="inlineStr">
        <is>
          <t>Unité</t>
        </is>
      </c>
      <c r="C24" s="31" t="n">
        <v>15</v>
      </c>
      <c r="D24" s="31" t="n">
        <v>35</v>
      </c>
      <c r="E24" s="31" t="n">
        <v>72</v>
      </c>
      <c r="F24" s="32" t="inlineStr">
        <is>
          <t>50</t>
        </is>
      </c>
      <c r="G24" s="32" t="inlineStr">
        <is>
          <t>120</t>
        </is>
      </c>
      <c r="H24" s="32" t="inlineStr">
        <is>
          <t>280</t>
        </is>
      </c>
    </row>
    <row r="25" ht="15.75" customHeight="1" s="77">
      <c r="A25" s="14" t="inlineStr">
        <is>
          <t>Nombre d'employés</t>
        </is>
      </c>
      <c r="B25" s="35" t="inlineStr">
        <is>
          <t>Unité</t>
        </is>
      </c>
      <c r="C25" s="31" t="n">
        <v>12</v>
      </c>
      <c r="D25" s="31" t="n">
        <v>22</v>
      </c>
      <c r="E25" s="31" t="n">
        <v>35</v>
      </c>
      <c r="F25" s="32" t="inlineStr">
        <is>
          <t>3</t>
        </is>
      </c>
      <c r="G25" s="32" t="inlineStr">
        <is>
          <t>5</t>
        </is>
      </c>
      <c r="H25" s="32" t="inlineStr">
        <is>
          <t>8</t>
        </is>
      </c>
    </row>
    <row r="26" ht="15.75" customHeight="1" s="77">
      <c r="A26" s="14" t="inlineStr">
        <is>
          <t>Trésorerie fin d'année</t>
        </is>
      </c>
      <c r="B26" s="35" t="inlineStr">
        <is>
          <t>XOF</t>
        </is>
      </c>
      <c r="C26" s="31" t="n">
        <v>3000000</v>
      </c>
      <c r="D26" s="31" t="n">
        <v>8000000</v>
      </c>
      <c r="E26" s="31" t="n">
        <v>18000000</v>
      </c>
      <c r="F26" s="32" t="inlineStr">
        <is>
          <t>1 000 000</t>
        </is>
      </c>
      <c r="G26" s="32" t="inlineStr">
        <is>
          <t>2 500 000</t>
        </is>
      </c>
      <c r="H26" s="32" t="inlineStr">
        <is>
          <t>6 000 000</t>
        </is>
      </c>
    </row>
    <row r="27" ht="15.75" customHeight="1" s="77"/>
    <row r="28" ht="15.75" customHeight="1" s="77"/>
    <row r="29" ht="15.75" customHeight="1" s="77"/>
    <row r="30" ht="15.75" customHeight="1" s="77"/>
    <row r="31" ht="15.75" customHeight="1" s="77"/>
    <row r="32" ht="15.75" customHeight="1" s="77"/>
    <row r="33" ht="15.75" customHeight="1" s="77"/>
    <row r="34" ht="15.75" customHeight="1" s="77"/>
    <row r="35" ht="15.75" customHeight="1" s="77"/>
    <row r="36" ht="15.75" customHeight="1" s="77"/>
    <row r="37" ht="15.75" customHeight="1" s="77"/>
    <row r="38" ht="15.75" customHeight="1" s="77"/>
    <row r="39" ht="15.75" customHeight="1" s="77"/>
    <row r="40" ht="15.75" customHeight="1" s="77"/>
    <row r="41" ht="15.75" customHeight="1" s="77"/>
    <row r="42" ht="15.75" customHeight="1" s="77"/>
    <row r="43" ht="15.75" customHeight="1" s="77"/>
    <row r="44" ht="15.75" customHeight="1" s="77"/>
    <row r="45" ht="15.75" customHeight="1" s="77"/>
    <row r="46" ht="15.75" customHeight="1" s="77"/>
    <row r="47" ht="15.75" customHeight="1" s="77"/>
    <row r="48" ht="15.75" customHeight="1" s="77"/>
    <row r="49" ht="15.75" customHeight="1" s="77"/>
    <row r="50" ht="15.75" customHeight="1" s="77"/>
    <row r="51" ht="15.75" customHeight="1" s="77"/>
    <row r="52" ht="15.75" customHeight="1" s="77"/>
    <row r="53" ht="15.75" customHeight="1" s="77"/>
    <row r="54" ht="15.75" customHeight="1" s="77"/>
    <row r="55" ht="15.75" customHeight="1" s="77"/>
    <row r="56" ht="15.75" customHeight="1" s="77"/>
    <row r="57" ht="15.75" customHeight="1" s="77"/>
    <row r="58" ht="15.75" customHeight="1" s="77"/>
    <row r="59" ht="15.75" customHeight="1" s="77"/>
    <row r="60" ht="15.75" customHeight="1" s="77"/>
    <row r="61" ht="15.75" customHeight="1" s="77"/>
    <row r="62" ht="15.75" customHeight="1" s="77"/>
    <row r="63" ht="15.75" customHeight="1" s="77"/>
    <row r="64" ht="15.75" customHeight="1" s="77"/>
    <row r="65" ht="15.75" customHeight="1" s="77"/>
    <row r="66" ht="15.75" customHeight="1" s="77"/>
    <row r="67" ht="15.75" customHeight="1" s="77"/>
    <row r="68" ht="15.75" customHeight="1" s="77"/>
    <row r="69" ht="15.75" customHeight="1" s="77"/>
    <row r="70" ht="15.75" customHeight="1" s="77"/>
    <row r="71" ht="15.75" customHeight="1" s="77"/>
    <row r="72" ht="15.75" customHeight="1" s="77"/>
    <row r="73" ht="15.75" customHeight="1" s="77"/>
    <row r="74" ht="15.75" customHeight="1" s="77"/>
    <row r="75" ht="15.75" customHeight="1" s="77"/>
    <row r="76" ht="15.75" customHeight="1" s="77"/>
    <row r="77" ht="15.75" customHeight="1" s="77"/>
    <row r="78" ht="15.75" customHeight="1" s="77"/>
    <row r="79" ht="15.75" customHeight="1" s="77"/>
    <row r="80" ht="15.75" customHeight="1" s="77"/>
    <row r="81" ht="15.75" customHeight="1" s="77"/>
    <row r="82" ht="15.75" customHeight="1" s="77"/>
    <row r="83" ht="15.75" customHeight="1" s="77"/>
    <row r="84" ht="15.75" customHeight="1" s="77"/>
    <row r="85" ht="15.75" customHeight="1" s="77"/>
    <row r="86" ht="15.75" customHeight="1" s="77"/>
    <row r="87" ht="15.75" customHeight="1" s="77"/>
    <row r="88" ht="15.75" customHeight="1" s="77"/>
    <row r="89" ht="15.75" customHeight="1" s="77"/>
    <row r="90" ht="15.75" customHeight="1" s="77"/>
    <row r="91" ht="15.75" customHeight="1" s="77"/>
    <row r="92" ht="15.75" customHeight="1" s="77"/>
    <row r="93" ht="15.75" customHeight="1" s="77"/>
    <row r="94" ht="15.75" customHeight="1" s="77"/>
    <row r="95" ht="15.75" customHeight="1" s="77"/>
    <row r="96" ht="15.75" customHeight="1" s="77"/>
    <row r="97" ht="15.75" customHeight="1" s="77"/>
    <row r="98" ht="15.75" customHeight="1" s="77"/>
    <row r="99" ht="15.75" customHeight="1" s="77"/>
    <row r="100" ht="15.75" customHeight="1" s="77"/>
    <row r="101" ht="15.75" customHeight="1" s="77"/>
    <row r="102" ht="15.75" customHeight="1" s="77"/>
    <row r="103" ht="15.75" customHeight="1" s="77"/>
    <row r="104" ht="15.75" customHeight="1" s="77"/>
    <row r="105" ht="15.75" customHeight="1" s="77"/>
    <row r="106" ht="15.75" customHeight="1" s="77"/>
    <row r="107" ht="15.75" customHeight="1" s="77"/>
    <row r="108" ht="15.75" customHeight="1" s="77"/>
    <row r="109" ht="15.75" customHeight="1" s="77"/>
    <row r="110" ht="15.75" customHeight="1" s="77"/>
    <row r="111" ht="15.75" customHeight="1" s="77"/>
    <row r="112" ht="15.75" customHeight="1" s="77"/>
    <row r="113" ht="15.75" customHeight="1" s="77"/>
    <row r="114" ht="15.75" customHeight="1" s="77"/>
    <row r="115" ht="15.75" customHeight="1" s="77"/>
    <row r="116" ht="15.75" customHeight="1" s="77"/>
    <row r="117" ht="15.75" customHeight="1" s="77"/>
    <row r="118" ht="15.75" customHeight="1" s="77"/>
    <row r="119" ht="15.75" customHeight="1" s="77"/>
    <row r="120" ht="15.75" customHeight="1" s="77"/>
    <row r="121" ht="15.75" customHeight="1" s="77"/>
    <row r="122" ht="15.75" customHeight="1" s="77"/>
    <row r="123" ht="15.75" customHeight="1" s="77"/>
    <row r="124" ht="15.75" customHeight="1" s="77"/>
    <row r="125" ht="15.75" customHeight="1" s="77"/>
    <row r="126" ht="15.75" customHeight="1" s="77"/>
    <row r="127" ht="15.75" customHeight="1" s="77"/>
    <row r="128" ht="15.75" customHeight="1" s="77"/>
    <row r="129" ht="15.75" customHeight="1" s="77"/>
    <row r="130" ht="15.75" customHeight="1" s="77"/>
    <row r="131" ht="15.75" customHeight="1" s="77"/>
    <row r="132" ht="15.75" customHeight="1" s="77"/>
    <row r="133" ht="15.75" customHeight="1" s="77"/>
    <row r="134" ht="15.75" customHeight="1" s="77"/>
    <row r="135" ht="15.75" customHeight="1" s="77"/>
    <row r="136" ht="15.75" customHeight="1" s="77"/>
    <row r="137" ht="15.75" customHeight="1" s="77"/>
    <row r="138" ht="15.75" customHeight="1" s="77"/>
    <row r="139" ht="15.75" customHeight="1" s="77"/>
    <row r="140" ht="15.75" customHeight="1" s="77"/>
    <row r="141" ht="15.75" customHeight="1" s="77"/>
    <row r="142" ht="15.75" customHeight="1" s="77"/>
    <row r="143" ht="15.75" customHeight="1" s="77"/>
    <row r="144" ht="15.75" customHeight="1" s="77"/>
    <row r="145" ht="15.75" customHeight="1" s="77"/>
    <row r="146" ht="15.75" customHeight="1" s="77"/>
    <row r="147" ht="15.75" customHeight="1" s="77"/>
    <row r="148" ht="15.75" customHeight="1" s="77"/>
    <row r="149" ht="15.75" customHeight="1" s="77"/>
    <row r="150" ht="15.75" customHeight="1" s="77"/>
    <row r="151" ht="15.75" customHeight="1" s="77"/>
    <row r="152" ht="15.75" customHeight="1" s="77"/>
    <row r="153" ht="15.75" customHeight="1" s="77"/>
    <row r="154" ht="15.75" customHeight="1" s="77"/>
    <row r="155" ht="15.75" customHeight="1" s="77"/>
    <row r="156" ht="15.75" customHeight="1" s="77"/>
    <row r="157" ht="15.75" customHeight="1" s="77"/>
    <row r="158" ht="15.75" customHeight="1" s="77"/>
    <row r="159" ht="15.75" customHeight="1" s="77"/>
    <row r="160" ht="15.75" customHeight="1" s="77"/>
    <row r="161" ht="15.75" customHeight="1" s="77"/>
    <row r="162" ht="15.75" customHeight="1" s="77"/>
    <row r="163" ht="15.75" customHeight="1" s="77"/>
    <row r="164" ht="15.75" customHeight="1" s="77"/>
    <row r="165" ht="15.75" customHeight="1" s="77"/>
    <row r="166" ht="15.75" customHeight="1" s="77"/>
    <row r="167" ht="15.75" customHeight="1" s="77"/>
    <row r="168" ht="15.75" customHeight="1" s="77"/>
    <row r="169" ht="15.75" customHeight="1" s="77"/>
    <row r="170" ht="15.75" customHeight="1" s="77"/>
    <row r="171" ht="15.75" customHeight="1" s="77"/>
    <row r="172" ht="15.75" customHeight="1" s="77"/>
    <row r="173" ht="15.75" customHeight="1" s="77"/>
    <row r="174" ht="15.75" customHeight="1" s="77"/>
    <row r="175" ht="15.75" customHeight="1" s="77"/>
    <row r="176" ht="15.75" customHeight="1" s="77"/>
    <row r="177" ht="15.75" customHeight="1" s="77"/>
    <row r="178" ht="15.75" customHeight="1" s="77"/>
    <row r="179" ht="15.75" customHeight="1" s="77"/>
    <row r="180" ht="15.75" customHeight="1" s="77"/>
    <row r="181" ht="15.75" customHeight="1" s="77"/>
    <row r="182" ht="15.75" customHeight="1" s="77"/>
    <row r="183" ht="15.75" customHeight="1" s="77"/>
    <row r="184" ht="15.75" customHeight="1" s="77"/>
    <row r="185" ht="15.75" customHeight="1" s="77"/>
    <row r="186" ht="15.75" customHeight="1" s="77"/>
    <row r="187" ht="15.75" customHeight="1" s="77"/>
    <row r="188" ht="15.75" customHeight="1" s="77"/>
    <row r="189" ht="15.75" customHeight="1" s="77"/>
    <row r="190" ht="15.75" customHeight="1" s="77"/>
    <row r="191" ht="15.75" customHeight="1" s="77"/>
    <row r="192" ht="15.75" customHeight="1" s="77"/>
    <row r="193" ht="15.75" customHeight="1" s="77"/>
    <row r="194" ht="15.75" customHeight="1" s="77"/>
    <row r="195" ht="15.75" customHeight="1" s="77"/>
    <row r="196" ht="15.75" customHeight="1" s="77"/>
    <row r="197" ht="15.75" customHeight="1" s="77"/>
    <row r="198" ht="15.75" customHeight="1" s="77"/>
    <row r="199" ht="15.75" customHeight="1" s="77"/>
    <row r="200" ht="15.75" customHeight="1" s="77"/>
    <row r="201" ht="15.75" customHeight="1" s="77"/>
    <row r="202" ht="15.75" customHeight="1" s="77"/>
    <row r="203" ht="15.75" customHeight="1" s="77"/>
    <row r="204" ht="15.75" customHeight="1" s="77"/>
    <row r="205" ht="15.75" customHeight="1" s="77"/>
    <row r="206" ht="15.75" customHeight="1" s="77"/>
    <row r="207" ht="15.75" customHeight="1" s="77"/>
    <row r="208" ht="15.75" customHeight="1" s="77"/>
    <row r="209" ht="15.75" customHeight="1" s="77"/>
    <row r="210" ht="15.75" customHeight="1" s="77"/>
    <row r="211" ht="15.75" customHeight="1" s="77"/>
    <row r="212" ht="15.75" customHeight="1" s="77"/>
    <row r="213" ht="15.75" customHeight="1" s="77"/>
    <row r="214" ht="15.75" customHeight="1" s="77"/>
    <row r="215" ht="15.75" customHeight="1" s="77"/>
    <row r="216" ht="15.75" customHeight="1" s="77"/>
    <row r="217" ht="15.75" customHeight="1" s="77"/>
    <row r="218" ht="15.75" customHeight="1" s="77"/>
    <row r="219" ht="15.75" customHeight="1" s="77"/>
    <row r="220" ht="15.75" customHeight="1" s="77"/>
    <row r="221" ht="15.75" customHeight="1" s="77"/>
    <row r="222" ht="15.75" customHeight="1" s="77"/>
    <row r="223" ht="15.75" customHeight="1" s="77"/>
    <row r="224" ht="15.75" customHeight="1" s="77"/>
    <row r="225" ht="15.75" customHeight="1" s="77"/>
    <row r="226" ht="15.75" customHeight="1" s="77"/>
    <row r="227" ht="15.75" customHeight="1" s="77"/>
    <row r="228" ht="15.75" customHeight="1" s="77"/>
    <row r="229" ht="15.75" customHeight="1" s="77"/>
    <row r="230" ht="15.75" customHeight="1" s="77"/>
    <row r="231" ht="15.75" customHeight="1" s="77"/>
    <row r="232" ht="15.75" customHeight="1" s="77"/>
    <row r="233" ht="15.75" customHeight="1" s="77"/>
    <row r="234" ht="15.75" customHeight="1" s="77"/>
    <row r="235" ht="15.75" customHeight="1" s="77"/>
    <row r="236" ht="15.75" customHeight="1" s="77"/>
    <row r="237" ht="15.75" customHeight="1" s="77"/>
    <row r="238" ht="15.75" customHeight="1" s="77"/>
    <row r="239" ht="15.75" customHeight="1" s="77"/>
    <row r="240" ht="15.75" customHeight="1" s="77"/>
    <row r="241" ht="15.75" customHeight="1" s="77"/>
    <row r="242" ht="15.75" customHeight="1" s="77"/>
    <row r="243" ht="15.75" customHeight="1" s="77"/>
    <row r="244" ht="15.75" customHeight="1" s="77"/>
    <row r="245" ht="15.75" customHeight="1" s="77"/>
    <row r="246" ht="15.75" customHeight="1" s="77"/>
    <row r="247" ht="15.75" customHeight="1" s="77"/>
    <row r="248" ht="15.75" customHeight="1" s="77"/>
    <row r="249" ht="15.75" customHeight="1" s="77"/>
    <row r="250" ht="15.75" customHeight="1" s="77"/>
    <row r="251" ht="15.75" customHeight="1" s="77"/>
    <row r="252" ht="15.75" customHeight="1" s="77"/>
    <row r="253" ht="15.75" customHeight="1" s="77"/>
    <row r="254" ht="15.75" customHeight="1" s="77"/>
    <row r="255" ht="15.75" customHeight="1" s="77"/>
    <row r="256" ht="15.75" customHeight="1" s="77"/>
    <row r="257" ht="15.75" customHeight="1" s="77"/>
    <row r="258" ht="15.75" customHeight="1" s="77"/>
    <row r="259" ht="15.75" customHeight="1" s="77"/>
    <row r="260" ht="15.75" customHeight="1" s="77"/>
    <row r="261" ht="15.75" customHeight="1" s="77"/>
    <row r="262" ht="15.75" customHeight="1" s="77"/>
    <row r="263" ht="15.75" customHeight="1" s="77"/>
    <row r="264" ht="15.75" customHeight="1" s="77"/>
    <row r="265" ht="15.75" customHeight="1" s="77"/>
    <row r="266" ht="15.75" customHeight="1" s="77"/>
    <row r="267" ht="15.75" customHeight="1" s="77"/>
    <row r="268" ht="15.75" customHeight="1" s="77"/>
    <row r="269" ht="15.75" customHeight="1" s="77"/>
    <row r="270" ht="15.75" customHeight="1" s="77"/>
    <row r="271" ht="15.75" customHeight="1" s="77"/>
    <row r="272" ht="15.75" customHeight="1" s="77"/>
    <row r="273" ht="15.75" customHeight="1" s="77"/>
    <row r="274" ht="15.75" customHeight="1" s="77"/>
    <row r="275" ht="15.75" customHeight="1" s="77"/>
    <row r="276" ht="15.75" customHeight="1" s="77"/>
    <row r="277" ht="15.75" customHeight="1" s="77"/>
    <row r="278" ht="15.75" customHeight="1" s="77"/>
    <row r="279" ht="15.75" customHeight="1" s="77"/>
    <row r="280" ht="15.75" customHeight="1" s="77"/>
    <row r="281" ht="15.75" customHeight="1" s="77"/>
    <row r="282" ht="15.75" customHeight="1" s="77"/>
    <row r="283" ht="15.75" customHeight="1" s="77"/>
    <row r="284" ht="15.75" customHeight="1" s="77"/>
    <row r="285" ht="15.75" customHeight="1" s="77"/>
    <row r="286" ht="15.75" customHeight="1" s="77"/>
    <row r="287" ht="15.75" customHeight="1" s="77"/>
    <row r="288" ht="15.75" customHeight="1" s="77"/>
    <row r="289" ht="15.75" customHeight="1" s="77"/>
    <row r="290" ht="15.75" customHeight="1" s="77"/>
    <row r="291" ht="15.75" customHeight="1" s="77"/>
    <row r="292" ht="15.75" customHeight="1" s="77"/>
    <row r="293" ht="15.75" customHeight="1" s="77"/>
    <row r="294" ht="15.75" customHeight="1" s="77"/>
    <row r="295" ht="15.75" customHeight="1" s="77"/>
    <row r="296" ht="15.75" customHeight="1" s="77"/>
    <row r="297" ht="15.75" customHeight="1" s="77"/>
    <row r="298" ht="15.75" customHeight="1" s="77"/>
    <row r="299" ht="15.75" customHeight="1" s="77"/>
    <row r="300" ht="15.75" customHeight="1" s="77"/>
    <row r="301" ht="15.75" customHeight="1" s="77"/>
    <row r="302" ht="15.75" customHeight="1" s="77"/>
    <row r="303" ht="15.75" customHeight="1" s="77"/>
    <row r="304" ht="15.75" customHeight="1" s="77"/>
    <row r="305" ht="15.75" customHeight="1" s="77"/>
    <row r="306" ht="15.75" customHeight="1" s="77"/>
    <row r="307" ht="15.75" customHeight="1" s="77"/>
    <row r="308" ht="15.75" customHeight="1" s="77"/>
    <row r="309" ht="15.75" customHeight="1" s="77"/>
    <row r="310" ht="15.75" customHeight="1" s="77"/>
    <row r="311" ht="15.75" customHeight="1" s="77"/>
    <row r="312" ht="15.75" customHeight="1" s="77"/>
    <row r="313" ht="15.75" customHeight="1" s="77"/>
    <row r="314" ht="15.75" customHeight="1" s="77"/>
    <row r="315" ht="15.75" customHeight="1" s="77"/>
    <row r="316" ht="15.75" customHeight="1" s="77"/>
    <row r="317" ht="15.75" customHeight="1" s="77"/>
    <row r="318" ht="15.75" customHeight="1" s="77"/>
    <row r="319" ht="15.75" customHeight="1" s="77"/>
    <row r="320" ht="15.75" customHeight="1" s="77"/>
    <row r="321" ht="15.75" customHeight="1" s="77"/>
    <row r="322" ht="15.75" customHeight="1" s="77"/>
    <row r="323" ht="15.75" customHeight="1" s="77"/>
    <row r="324" ht="15.75" customHeight="1" s="77"/>
    <row r="325" ht="15.75" customHeight="1" s="77"/>
    <row r="326" ht="15.75" customHeight="1" s="77"/>
    <row r="327" ht="15.75" customHeight="1" s="77"/>
    <row r="328" ht="15.75" customHeight="1" s="77"/>
    <row r="329" ht="15.75" customHeight="1" s="77"/>
    <row r="330" ht="15.75" customHeight="1" s="77"/>
    <row r="331" ht="15.75" customHeight="1" s="77"/>
    <row r="332" ht="15.75" customHeight="1" s="77"/>
    <row r="333" ht="15.75" customHeight="1" s="77"/>
    <row r="334" ht="15.75" customHeight="1" s="77"/>
    <row r="335" ht="15.75" customHeight="1" s="77"/>
    <row r="336" ht="15.75" customHeight="1" s="77"/>
    <row r="337" ht="15.75" customHeight="1" s="77"/>
    <row r="338" ht="15.75" customHeight="1" s="77"/>
    <row r="339" ht="15.75" customHeight="1" s="77"/>
    <row r="340" ht="15.75" customHeight="1" s="77"/>
    <row r="341" ht="15.75" customHeight="1" s="77"/>
    <row r="342" ht="15.75" customHeight="1" s="77"/>
    <row r="343" ht="15.75" customHeight="1" s="77"/>
    <row r="344" ht="15.75" customHeight="1" s="77"/>
    <row r="345" ht="15.75" customHeight="1" s="77"/>
    <row r="346" ht="15.75" customHeight="1" s="77"/>
    <row r="347" ht="15.75" customHeight="1" s="77"/>
    <row r="348" ht="15.75" customHeight="1" s="77"/>
    <row r="349" ht="15.75" customHeight="1" s="77"/>
    <row r="350" ht="15.75" customHeight="1" s="77"/>
    <row r="351" ht="15.75" customHeight="1" s="77"/>
    <row r="352" ht="15.75" customHeight="1" s="77"/>
    <row r="353" ht="15.75" customHeight="1" s="77"/>
    <row r="354" ht="15.75" customHeight="1" s="77"/>
    <row r="355" ht="15.75" customHeight="1" s="77"/>
    <row r="356" ht="15.75" customHeight="1" s="77"/>
    <row r="357" ht="15.75" customHeight="1" s="77"/>
    <row r="358" ht="15.75" customHeight="1" s="77"/>
    <row r="359" ht="15.75" customHeight="1" s="77"/>
    <row r="360" ht="15.75" customHeight="1" s="77"/>
    <row r="361" ht="15.75" customHeight="1" s="77"/>
    <row r="362" ht="15.75" customHeight="1" s="77"/>
    <row r="363" ht="15.75" customHeight="1" s="77"/>
    <row r="364" ht="15.75" customHeight="1" s="77"/>
    <row r="365" ht="15.75" customHeight="1" s="77"/>
    <row r="366" ht="15.75" customHeight="1" s="77"/>
    <row r="367" ht="15.75" customHeight="1" s="77"/>
    <row r="368" ht="15.75" customHeight="1" s="77"/>
    <row r="369" ht="15.75" customHeight="1" s="77"/>
    <row r="370" ht="15.75" customHeight="1" s="77"/>
    <row r="371" ht="15.75" customHeight="1" s="77"/>
    <row r="372" ht="15.75" customHeight="1" s="77"/>
    <row r="373" ht="15.75" customHeight="1" s="77"/>
    <row r="374" ht="15.75" customHeight="1" s="77"/>
    <row r="375" ht="15.75" customHeight="1" s="77"/>
    <row r="376" ht="15.75" customHeight="1" s="77"/>
    <row r="377" ht="15.75" customHeight="1" s="77"/>
    <row r="378" ht="15.75" customHeight="1" s="77"/>
    <row r="379" ht="15.75" customHeight="1" s="77"/>
    <row r="380" ht="15.75" customHeight="1" s="77"/>
    <row r="381" ht="15.75" customHeight="1" s="77"/>
    <row r="382" ht="15.75" customHeight="1" s="77"/>
    <row r="383" ht="15.75" customHeight="1" s="77"/>
    <row r="384" ht="15.75" customHeight="1" s="77"/>
    <row r="385" ht="15.75" customHeight="1" s="77"/>
    <row r="386" ht="15.75" customHeight="1" s="77"/>
    <row r="387" ht="15.75" customHeight="1" s="77"/>
    <row r="388" ht="15.75" customHeight="1" s="77"/>
    <row r="389" ht="15.75" customHeight="1" s="77"/>
    <row r="390" ht="15.75" customHeight="1" s="77"/>
    <row r="391" ht="15.75" customHeight="1" s="77"/>
    <row r="392" ht="15.75" customHeight="1" s="77"/>
    <row r="393" ht="15.75" customHeight="1" s="77"/>
    <row r="394" ht="15.75" customHeight="1" s="77"/>
    <row r="395" ht="15.75" customHeight="1" s="77"/>
    <row r="396" ht="15.75" customHeight="1" s="77"/>
    <row r="397" ht="15.75" customHeight="1" s="77"/>
    <row r="398" ht="15.75" customHeight="1" s="77"/>
    <row r="399" ht="15.75" customHeight="1" s="77"/>
    <row r="400" ht="15.75" customHeight="1" s="77"/>
    <row r="401" ht="15.75" customHeight="1" s="77"/>
    <row r="402" ht="15.75" customHeight="1" s="77"/>
    <row r="403" ht="15.75" customHeight="1" s="77"/>
    <row r="404" ht="15.75" customHeight="1" s="77"/>
    <row r="405" ht="15.75" customHeight="1" s="77"/>
    <row r="406" ht="15.75" customHeight="1" s="77"/>
    <row r="407" ht="15.75" customHeight="1" s="77"/>
    <row r="408" ht="15.75" customHeight="1" s="77"/>
    <row r="409" ht="15.75" customHeight="1" s="77"/>
    <row r="410" ht="15.75" customHeight="1" s="77"/>
    <row r="411" ht="15.75" customHeight="1" s="77"/>
    <row r="412" ht="15.75" customHeight="1" s="77"/>
    <row r="413" ht="15.75" customHeight="1" s="77"/>
    <row r="414" ht="15.75" customHeight="1" s="77"/>
    <row r="415" ht="15.75" customHeight="1" s="77"/>
    <row r="416" ht="15.75" customHeight="1" s="77"/>
    <row r="417" ht="15.75" customHeight="1" s="77"/>
    <row r="418" ht="15.75" customHeight="1" s="77"/>
    <row r="419" ht="15.75" customHeight="1" s="77"/>
    <row r="420" ht="15.75" customHeight="1" s="77"/>
    <row r="421" ht="15.75" customHeight="1" s="77"/>
    <row r="422" ht="15.75" customHeight="1" s="77"/>
    <row r="423" ht="15.75" customHeight="1" s="77"/>
    <row r="424" ht="15.75" customHeight="1" s="77"/>
    <row r="425" ht="15.75" customHeight="1" s="77"/>
    <row r="426" ht="15.75" customHeight="1" s="77"/>
    <row r="427" ht="15.75" customHeight="1" s="77"/>
    <row r="428" ht="15.75" customHeight="1" s="77"/>
    <row r="429" ht="15.75" customHeight="1" s="77"/>
    <row r="430" ht="15.75" customHeight="1" s="77"/>
    <row r="431" ht="15.75" customHeight="1" s="77"/>
    <row r="432" ht="15.75" customHeight="1" s="77"/>
    <row r="433" ht="15.75" customHeight="1" s="77"/>
    <row r="434" ht="15.75" customHeight="1" s="77"/>
    <row r="435" ht="15.75" customHeight="1" s="77"/>
    <row r="436" ht="15.75" customHeight="1" s="77"/>
    <row r="437" ht="15.75" customHeight="1" s="77"/>
    <row r="438" ht="15.75" customHeight="1" s="77"/>
    <row r="439" ht="15.75" customHeight="1" s="77"/>
    <row r="440" ht="15.75" customHeight="1" s="77"/>
    <row r="441" ht="15.75" customHeight="1" s="77"/>
    <row r="442" ht="15.75" customHeight="1" s="77"/>
    <row r="443" ht="15.75" customHeight="1" s="77"/>
    <row r="444" ht="15.75" customHeight="1" s="77"/>
    <row r="445" ht="15.75" customHeight="1" s="77"/>
    <row r="446" ht="15.75" customHeight="1" s="77"/>
    <row r="447" ht="15.75" customHeight="1" s="77"/>
    <row r="448" ht="15.75" customHeight="1" s="77"/>
    <row r="449" ht="15.75" customHeight="1" s="77"/>
    <row r="450" ht="15.75" customHeight="1" s="77"/>
    <row r="451" ht="15.75" customHeight="1" s="77"/>
    <row r="452" ht="15.75" customHeight="1" s="77"/>
    <row r="453" ht="15.75" customHeight="1" s="77"/>
    <row r="454" ht="15.75" customHeight="1" s="77"/>
    <row r="455" ht="15.75" customHeight="1" s="77"/>
    <row r="456" ht="15.75" customHeight="1" s="77"/>
    <row r="457" ht="15.75" customHeight="1" s="77"/>
    <row r="458" ht="15.75" customHeight="1" s="77"/>
    <row r="459" ht="15.75" customHeight="1" s="77"/>
    <row r="460" ht="15.75" customHeight="1" s="77"/>
    <row r="461" ht="15.75" customHeight="1" s="77"/>
    <row r="462" ht="15.75" customHeight="1" s="77"/>
    <row r="463" ht="15.75" customHeight="1" s="77"/>
    <row r="464" ht="15.75" customHeight="1" s="77"/>
    <row r="465" ht="15.75" customHeight="1" s="77"/>
    <row r="466" ht="15.75" customHeight="1" s="77"/>
    <row r="467" ht="15.75" customHeight="1" s="77"/>
    <row r="468" ht="15.75" customHeight="1" s="77"/>
    <row r="469" ht="15.75" customHeight="1" s="77"/>
    <row r="470" ht="15.75" customHeight="1" s="77"/>
    <row r="471" ht="15.75" customHeight="1" s="77"/>
    <row r="472" ht="15.75" customHeight="1" s="77"/>
    <row r="473" ht="15.75" customHeight="1" s="77"/>
    <row r="474" ht="15.75" customHeight="1" s="77"/>
    <row r="475" ht="15.75" customHeight="1" s="77"/>
    <row r="476" ht="15.75" customHeight="1" s="77"/>
    <row r="477" ht="15.75" customHeight="1" s="77"/>
    <row r="478" ht="15.75" customHeight="1" s="77"/>
    <row r="479" ht="15.75" customHeight="1" s="77"/>
    <row r="480" ht="15.75" customHeight="1" s="77"/>
    <row r="481" ht="15.75" customHeight="1" s="77"/>
    <row r="482" ht="15.75" customHeight="1" s="77"/>
    <row r="483" ht="15.75" customHeight="1" s="77"/>
    <row r="484" ht="15.75" customHeight="1" s="77"/>
    <row r="485" ht="15.75" customHeight="1" s="77"/>
    <row r="486" ht="15.75" customHeight="1" s="77"/>
    <row r="487" ht="15.75" customHeight="1" s="77"/>
    <row r="488" ht="15.75" customHeight="1" s="77"/>
    <row r="489" ht="15.75" customHeight="1" s="77"/>
    <row r="490" ht="15.75" customHeight="1" s="77"/>
    <row r="491" ht="15.75" customHeight="1" s="77"/>
    <row r="492" ht="15.75" customHeight="1" s="77"/>
    <row r="493" ht="15.75" customHeight="1" s="77"/>
    <row r="494" ht="15.75" customHeight="1" s="77"/>
    <row r="495" ht="15.75" customHeight="1" s="77"/>
    <row r="496" ht="15.75" customHeight="1" s="77"/>
    <row r="497" ht="15.75" customHeight="1" s="77"/>
    <row r="498" ht="15.75" customHeight="1" s="77"/>
    <row r="499" ht="15.75" customHeight="1" s="77"/>
    <row r="500" ht="15.75" customHeight="1" s="77"/>
    <row r="501" ht="15.75" customHeight="1" s="77"/>
    <row r="502" ht="15.75" customHeight="1" s="77"/>
    <row r="503" ht="15.75" customHeight="1" s="77"/>
    <row r="504" ht="15.75" customHeight="1" s="77"/>
    <row r="505" ht="15.75" customHeight="1" s="77"/>
    <row r="506" ht="15.75" customHeight="1" s="77"/>
    <row r="507" ht="15.75" customHeight="1" s="77"/>
    <row r="508" ht="15.75" customHeight="1" s="77"/>
    <row r="509" ht="15.75" customHeight="1" s="77"/>
    <row r="510" ht="15.75" customHeight="1" s="77"/>
    <row r="511" ht="15.75" customHeight="1" s="77"/>
    <row r="512" ht="15.75" customHeight="1" s="77"/>
    <row r="513" ht="15.75" customHeight="1" s="77"/>
    <row r="514" ht="15.75" customHeight="1" s="77"/>
    <row r="515" ht="15.75" customHeight="1" s="77"/>
    <row r="516" ht="15.75" customHeight="1" s="77"/>
    <row r="517" ht="15.75" customHeight="1" s="77"/>
    <row r="518" ht="15.75" customHeight="1" s="77"/>
    <row r="519" ht="15.75" customHeight="1" s="77"/>
    <row r="520" ht="15.75" customHeight="1" s="77"/>
    <row r="521" ht="15.75" customHeight="1" s="77"/>
    <row r="522" ht="15.75" customHeight="1" s="77"/>
    <row r="523" ht="15.75" customHeight="1" s="77"/>
    <row r="524" ht="15.75" customHeight="1" s="77"/>
    <row r="525" ht="15.75" customHeight="1" s="77"/>
    <row r="526" ht="15.75" customHeight="1" s="77"/>
    <row r="527" ht="15.75" customHeight="1" s="77"/>
    <row r="528" ht="15.75" customHeight="1" s="77"/>
    <row r="529" ht="15.75" customHeight="1" s="77"/>
    <row r="530" ht="15.75" customHeight="1" s="77"/>
    <row r="531" ht="15.75" customHeight="1" s="77"/>
    <row r="532" ht="15.75" customHeight="1" s="77"/>
    <row r="533" ht="15.75" customHeight="1" s="77"/>
    <row r="534" ht="15.75" customHeight="1" s="77"/>
    <row r="535" ht="15.75" customHeight="1" s="77"/>
    <row r="536" ht="15.75" customHeight="1" s="77"/>
    <row r="537" ht="15.75" customHeight="1" s="77"/>
    <row r="538" ht="15.75" customHeight="1" s="77"/>
    <row r="539" ht="15.75" customHeight="1" s="77"/>
    <row r="540" ht="15.75" customHeight="1" s="77"/>
    <row r="541" ht="15.75" customHeight="1" s="77"/>
    <row r="542" ht="15.75" customHeight="1" s="77"/>
    <row r="543" ht="15.75" customHeight="1" s="77"/>
    <row r="544" ht="15.75" customHeight="1" s="77"/>
    <row r="545" ht="15.75" customHeight="1" s="77"/>
    <row r="546" ht="15.75" customHeight="1" s="77"/>
    <row r="547" ht="15.75" customHeight="1" s="77"/>
    <row r="548" ht="15.75" customHeight="1" s="77"/>
    <row r="549" ht="15.75" customHeight="1" s="77"/>
    <row r="550" ht="15.75" customHeight="1" s="77"/>
    <row r="551" ht="15.75" customHeight="1" s="77"/>
    <row r="552" ht="15.75" customHeight="1" s="77"/>
    <row r="553" ht="15.75" customHeight="1" s="77"/>
    <row r="554" ht="15.75" customHeight="1" s="77"/>
    <row r="555" ht="15.75" customHeight="1" s="77"/>
    <row r="556" ht="15.75" customHeight="1" s="77"/>
    <row r="557" ht="15.75" customHeight="1" s="77"/>
    <row r="558" ht="15.75" customHeight="1" s="77"/>
    <row r="559" ht="15.75" customHeight="1" s="77"/>
    <row r="560" ht="15.75" customHeight="1" s="77"/>
    <row r="561" ht="15.75" customHeight="1" s="77"/>
    <row r="562" ht="15.75" customHeight="1" s="77"/>
    <row r="563" ht="15.75" customHeight="1" s="77"/>
    <row r="564" ht="15.75" customHeight="1" s="77"/>
    <row r="565" ht="15.75" customHeight="1" s="77"/>
    <row r="566" ht="15.75" customHeight="1" s="77"/>
    <row r="567" ht="15.75" customHeight="1" s="77"/>
    <row r="568" ht="15.75" customHeight="1" s="77"/>
    <row r="569" ht="15.75" customHeight="1" s="77"/>
    <row r="570" ht="15.75" customHeight="1" s="77"/>
    <row r="571" ht="15.75" customHeight="1" s="77"/>
    <row r="572" ht="15.75" customHeight="1" s="77"/>
    <row r="573" ht="15.75" customHeight="1" s="77"/>
    <row r="574" ht="15.75" customHeight="1" s="77"/>
    <row r="575" ht="15.75" customHeight="1" s="77"/>
    <row r="576" ht="15.75" customHeight="1" s="77"/>
    <row r="577" ht="15.75" customHeight="1" s="77"/>
    <row r="578" ht="15.75" customHeight="1" s="77"/>
    <row r="579" ht="15.75" customHeight="1" s="77"/>
    <row r="580" ht="15.75" customHeight="1" s="77"/>
    <row r="581" ht="15.75" customHeight="1" s="77"/>
    <row r="582" ht="15.75" customHeight="1" s="77"/>
    <row r="583" ht="15.75" customHeight="1" s="77"/>
    <row r="584" ht="15.75" customHeight="1" s="77"/>
    <row r="585" ht="15.75" customHeight="1" s="77"/>
    <row r="586" ht="15.75" customHeight="1" s="77"/>
    <row r="587" ht="15.75" customHeight="1" s="77"/>
    <row r="588" ht="15.75" customHeight="1" s="77"/>
    <row r="589" ht="15.75" customHeight="1" s="77"/>
    <row r="590" ht="15.75" customHeight="1" s="77"/>
    <row r="591" ht="15.75" customHeight="1" s="77"/>
    <row r="592" ht="15.75" customHeight="1" s="77"/>
    <row r="593" ht="15.75" customHeight="1" s="77"/>
    <row r="594" ht="15.75" customHeight="1" s="77"/>
    <row r="595" ht="15.75" customHeight="1" s="77"/>
    <row r="596" ht="15.75" customHeight="1" s="77"/>
    <row r="597" ht="15.75" customHeight="1" s="77"/>
    <row r="598" ht="15.75" customHeight="1" s="77"/>
    <row r="599" ht="15.75" customHeight="1" s="77"/>
    <row r="600" ht="15.75" customHeight="1" s="77"/>
    <row r="601" ht="15.75" customHeight="1" s="77"/>
    <row r="602" ht="15.75" customHeight="1" s="77"/>
    <row r="603" ht="15.75" customHeight="1" s="77"/>
    <row r="604" ht="15.75" customHeight="1" s="77"/>
    <row r="605" ht="15.75" customHeight="1" s="77"/>
    <row r="606" ht="15.75" customHeight="1" s="77"/>
    <row r="607" ht="15.75" customHeight="1" s="77"/>
    <row r="608" ht="15.75" customHeight="1" s="77"/>
    <row r="609" ht="15.75" customHeight="1" s="77"/>
    <row r="610" ht="15.75" customHeight="1" s="77"/>
    <row r="611" ht="15.75" customHeight="1" s="77"/>
    <row r="612" ht="15.75" customHeight="1" s="77"/>
    <row r="613" ht="15.75" customHeight="1" s="77"/>
    <row r="614" ht="15.75" customHeight="1" s="77"/>
    <row r="615" ht="15.75" customHeight="1" s="77"/>
    <row r="616" ht="15.75" customHeight="1" s="77"/>
    <row r="617" ht="15.75" customHeight="1" s="77"/>
    <row r="618" ht="15.75" customHeight="1" s="77"/>
    <row r="619" ht="15.75" customHeight="1" s="77"/>
    <row r="620" ht="15.75" customHeight="1" s="77"/>
    <row r="621" ht="15.75" customHeight="1" s="77"/>
    <row r="622" ht="15.75" customHeight="1" s="77"/>
    <row r="623" ht="15.75" customHeight="1" s="77"/>
    <row r="624" ht="15.75" customHeight="1" s="77"/>
    <row r="625" ht="15.75" customHeight="1" s="77"/>
    <row r="626" ht="15.75" customHeight="1" s="77"/>
    <row r="627" ht="15.75" customHeight="1" s="77"/>
    <row r="628" ht="15.75" customHeight="1" s="77"/>
    <row r="629" ht="15.75" customHeight="1" s="77"/>
    <row r="630" ht="15.75" customHeight="1" s="77"/>
    <row r="631" ht="15.75" customHeight="1" s="77"/>
    <row r="632" ht="15.75" customHeight="1" s="77"/>
    <row r="633" ht="15.75" customHeight="1" s="77"/>
    <row r="634" ht="15.75" customHeight="1" s="77"/>
    <row r="635" ht="15.75" customHeight="1" s="77"/>
    <row r="636" ht="15.75" customHeight="1" s="77"/>
    <row r="637" ht="15.75" customHeight="1" s="77"/>
    <row r="638" ht="15.75" customHeight="1" s="77"/>
    <row r="639" ht="15.75" customHeight="1" s="77"/>
    <row r="640" ht="15.75" customHeight="1" s="77"/>
    <row r="641" ht="15.75" customHeight="1" s="77"/>
    <row r="642" ht="15.75" customHeight="1" s="77"/>
    <row r="643" ht="15.75" customHeight="1" s="77"/>
    <row r="644" ht="15.75" customHeight="1" s="77"/>
    <row r="645" ht="15.75" customHeight="1" s="77"/>
    <row r="646" ht="15.75" customHeight="1" s="77"/>
    <row r="647" ht="15.75" customHeight="1" s="77"/>
    <row r="648" ht="15.75" customHeight="1" s="77"/>
    <row r="649" ht="15.75" customHeight="1" s="77"/>
    <row r="650" ht="15.75" customHeight="1" s="77"/>
    <row r="651" ht="15.75" customHeight="1" s="77"/>
    <row r="652" ht="15.75" customHeight="1" s="77"/>
    <row r="653" ht="15.75" customHeight="1" s="77"/>
    <row r="654" ht="15.75" customHeight="1" s="77"/>
    <row r="655" ht="15.75" customHeight="1" s="77"/>
    <row r="656" ht="15.75" customHeight="1" s="77"/>
    <row r="657" ht="15.75" customHeight="1" s="77"/>
    <row r="658" ht="15.75" customHeight="1" s="77"/>
    <row r="659" ht="15.75" customHeight="1" s="77"/>
    <row r="660" ht="15.75" customHeight="1" s="77"/>
    <row r="661" ht="15.75" customHeight="1" s="77"/>
    <row r="662" ht="15.75" customHeight="1" s="77"/>
    <row r="663" ht="15.75" customHeight="1" s="77"/>
    <row r="664" ht="15.75" customHeight="1" s="77"/>
    <row r="665" ht="15.75" customHeight="1" s="77"/>
    <row r="666" ht="15.75" customHeight="1" s="77"/>
    <row r="667" ht="15.75" customHeight="1" s="77"/>
    <row r="668" ht="15.75" customHeight="1" s="77"/>
    <row r="669" ht="15.75" customHeight="1" s="77"/>
    <row r="670" ht="15.75" customHeight="1" s="77"/>
    <row r="671" ht="15.75" customHeight="1" s="77"/>
    <row r="672" ht="15.75" customHeight="1" s="77"/>
    <row r="673" ht="15.75" customHeight="1" s="77"/>
    <row r="674" ht="15.75" customHeight="1" s="77"/>
    <row r="675" ht="15.75" customHeight="1" s="77"/>
    <row r="676" ht="15.75" customHeight="1" s="77"/>
    <row r="677" ht="15.75" customHeight="1" s="77"/>
    <row r="678" ht="15.75" customHeight="1" s="77"/>
    <row r="679" ht="15.75" customHeight="1" s="77"/>
    <row r="680" ht="15.75" customHeight="1" s="77"/>
    <row r="681" ht="15.75" customHeight="1" s="77"/>
    <row r="682" ht="15.75" customHeight="1" s="77"/>
    <row r="683" ht="15.75" customHeight="1" s="77"/>
    <row r="684" ht="15.75" customHeight="1" s="77"/>
    <row r="685" ht="15.75" customHeight="1" s="77"/>
    <row r="686" ht="15.75" customHeight="1" s="77"/>
    <row r="687" ht="15.75" customHeight="1" s="77"/>
    <row r="688" ht="15.75" customHeight="1" s="77"/>
    <row r="689" ht="15.75" customHeight="1" s="77"/>
    <row r="690" ht="15.75" customHeight="1" s="77"/>
    <row r="691" ht="15.75" customHeight="1" s="77"/>
    <row r="692" ht="15.75" customHeight="1" s="77"/>
    <row r="693" ht="15.75" customHeight="1" s="77"/>
    <row r="694" ht="15.75" customHeight="1" s="77"/>
    <row r="695" ht="15.75" customHeight="1" s="77"/>
    <row r="696" ht="15.75" customHeight="1" s="77"/>
    <row r="697" ht="15.75" customHeight="1" s="77"/>
    <row r="698" ht="15.75" customHeight="1" s="77"/>
    <row r="699" ht="15.75" customHeight="1" s="77"/>
    <row r="700" ht="15.75" customHeight="1" s="77"/>
    <row r="701" ht="15.75" customHeight="1" s="77"/>
    <row r="702" ht="15.75" customHeight="1" s="77"/>
    <row r="703" ht="15.75" customHeight="1" s="77"/>
    <row r="704" ht="15.75" customHeight="1" s="77"/>
    <row r="705" ht="15.75" customHeight="1" s="77"/>
    <row r="706" ht="15.75" customHeight="1" s="77"/>
    <row r="707" ht="15.75" customHeight="1" s="77"/>
    <row r="708" ht="15.75" customHeight="1" s="77"/>
    <row r="709" ht="15.75" customHeight="1" s="77"/>
    <row r="710" ht="15.75" customHeight="1" s="77"/>
    <row r="711" ht="15.75" customHeight="1" s="77"/>
    <row r="712" ht="15.75" customHeight="1" s="77"/>
    <row r="713" ht="15.75" customHeight="1" s="77"/>
    <row r="714" ht="15.75" customHeight="1" s="77"/>
    <row r="715" ht="15.75" customHeight="1" s="77"/>
    <row r="716" ht="15.75" customHeight="1" s="77"/>
    <row r="717" ht="15.75" customHeight="1" s="77"/>
    <row r="718" ht="15.75" customHeight="1" s="77"/>
    <row r="719" ht="15.75" customHeight="1" s="77"/>
    <row r="720" ht="15.75" customHeight="1" s="77"/>
    <row r="721" ht="15.75" customHeight="1" s="77"/>
    <row r="722" ht="15.75" customHeight="1" s="77"/>
    <row r="723" ht="15.75" customHeight="1" s="77"/>
    <row r="724" ht="15.75" customHeight="1" s="77"/>
    <row r="725" ht="15.75" customHeight="1" s="77"/>
    <row r="726" ht="15.75" customHeight="1" s="77"/>
    <row r="727" ht="15.75" customHeight="1" s="77"/>
    <row r="728" ht="15.75" customHeight="1" s="77"/>
    <row r="729" ht="15.75" customHeight="1" s="77"/>
    <row r="730" ht="15.75" customHeight="1" s="77"/>
    <row r="731" ht="15.75" customHeight="1" s="77"/>
    <row r="732" ht="15.75" customHeight="1" s="77"/>
    <row r="733" ht="15.75" customHeight="1" s="77"/>
    <row r="734" ht="15.75" customHeight="1" s="77"/>
    <row r="735" ht="15.75" customHeight="1" s="77"/>
    <row r="736" ht="15.75" customHeight="1" s="77"/>
    <row r="737" ht="15.75" customHeight="1" s="77"/>
    <row r="738" ht="15.75" customHeight="1" s="77"/>
    <row r="739" ht="15.75" customHeight="1" s="77"/>
    <row r="740" ht="15.75" customHeight="1" s="77"/>
    <row r="741" ht="15.75" customHeight="1" s="77"/>
    <row r="742" ht="15.75" customHeight="1" s="77"/>
    <row r="743" ht="15.75" customHeight="1" s="77"/>
    <row r="744" ht="15.75" customHeight="1" s="77"/>
    <row r="745" ht="15.75" customHeight="1" s="77"/>
    <row r="746" ht="15.75" customHeight="1" s="77"/>
    <row r="747" ht="15.75" customHeight="1" s="77"/>
    <row r="748" ht="15.75" customHeight="1" s="77"/>
    <row r="749" ht="15.75" customHeight="1" s="77"/>
    <row r="750" ht="15.75" customHeight="1" s="77"/>
    <row r="751" ht="15.75" customHeight="1" s="77"/>
    <row r="752" ht="15.75" customHeight="1" s="77"/>
    <row r="753" ht="15.75" customHeight="1" s="77"/>
    <row r="754" ht="15.75" customHeight="1" s="77"/>
    <row r="755" ht="15.75" customHeight="1" s="77"/>
    <row r="756" ht="15.75" customHeight="1" s="77"/>
    <row r="757" ht="15.75" customHeight="1" s="77"/>
    <row r="758" ht="15.75" customHeight="1" s="77"/>
    <row r="759" ht="15.75" customHeight="1" s="77"/>
    <row r="760" ht="15.75" customHeight="1" s="77"/>
    <row r="761" ht="15.75" customHeight="1" s="77"/>
    <row r="762" ht="15.75" customHeight="1" s="77"/>
    <row r="763" ht="15.75" customHeight="1" s="77"/>
    <row r="764" ht="15.75" customHeight="1" s="77"/>
    <row r="765" ht="15.75" customHeight="1" s="77"/>
    <row r="766" ht="15.75" customHeight="1" s="77"/>
    <row r="767" ht="15.75" customHeight="1" s="77"/>
    <row r="768" ht="15.75" customHeight="1" s="77"/>
    <row r="769" ht="15.75" customHeight="1" s="77"/>
    <row r="770" ht="15.75" customHeight="1" s="77"/>
    <row r="771" ht="15.75" customHeight="1" s="77"/>
    <row r="772" ht="15.75" customHeight="1" s="77"/>
    <row r="773" ht="15.75" customHeight="1" s="77"/>
    <row r="774" ht="15.75" customHeight="1" s="77"/>
    <row r="775" ht="15.75" customHeight="1" s="77"/>
    <row r="776" ht="15.75" customHeight="1" s="77"/>
    <row r="777" ht="15.75" customHeight="1" s="77"/>
    <row r="778" ht="15.75" customHeight="1" s="77"/>
    <row r="779" ht="15.75" customHeight="1" s="77"/>
    <row r="780" ht="15.75" customHeight="1" s="77"/>
    <row r="781" ht="15.75" customHeight="1" s="77"/>
    <row r="782" ht="15.75" customHeight="1" s="77"/>
    <row r="783" ht="15.75" customHeight="1" s="77"/>
    <row r="784" ht="15.75" customHeight="1" s="77"/>
    <row r="785" ht="15.75" customHeight="1" s="77"/>
    <row r="786" ht="15.75" customHeight="1" s="77"/>
    <row r="787" ht="15.75" customHeight="1" s="77"/>
    <row r="788" ht="15.75" customHeight="1" s="77"/>
    <row r="789" ht="15.75" customHeight="1" s="77"/>
    <row r="790" ht="15.75" customHeight="1" s="77"/>
    <row r="791" ht="15.75" customHeight="1" s="77"/>
    <row r="792" ht="15.75" customHeight="1" s="77"/>
    <row r="793" ht="15.75" customHeight="1" s="77"/>
    <row r="794" ht="15.75" customHeight="1" s="77"/>
    <row r="795" ht="15.75" customHeight="1" s="77"/>
    <row r="796" ht="15.75" customHeight="1" s="77"/>
    <row r="797" ht="15.75" customHeight="1" s="77"/>
    <row r="798" ht="15.75" customHeight="1" s="77"/>
    <row r="799" ht="15.75" customHeight="1" s="77"/>
    <row r="800" ht="15.75" customHeight="1" s="77"/>
    <row r="801" ht="15.75" customHeight="1" s="77"/>
    <row r="802" ht="15.75" customHeight="1" s="77"/>
    <row r="803" ht="15.75" customHeight="1" s="77"/>
    <row r="804" ht="15.75" customHeight="1" s="77"/>
    <row r="805" ht="15.75" customHeight="1" s="77"/>
    <row r="806" ht="15.75" customHeight="1" s="77"/>
    <row r="807" ht="15.75" customHeight="1" s="77"/>
    <row r="808" ht="15.75" customHeight="1" s="77"/>
    <row r="809" ht="15.75" customHeight="1" s="77"/>
    <row r="810" ht="15.75" customHeight="1" s="77"/>
    <row r="811" ht="15.75" customHeight="1" s="77"/>
    <row r="812" ht="15.75" customHeight="1" s="77"/>
    <row r="813" ht="15.75" customHeight="1" s="77"/>
    <row r="814" ht="15.75" customHeight="1" s="77"/>
    <row r="815" ht="15.75" customHeight="1" s="77"/>
    <row r="816" ht="15.75" customHeight="1" s="77"/>
    <row r="817" ht="15.75" customHeight="1" s="77"/>
    <row r="818" ht="15.75" customHeight="1" s="77"/>
    <row r="819" ht="15.75" customHeight="1" s="77"/>
    <row r="820" ht="15.75" customHeight="1" s="77"/>
    <row r="821" ht="15.75" customHeight="1" s="77"/>
    <row r="822" ht="15.75" customHeight="1" s="77"/>
    <row r="823" ht="15.75" customHeight="1" s="77"/>
    <row r="824" ht="15.75" customHeight="1" s="77"/>
    <row r="825" ht="15.75" customHeight="1" s="77"/>
    <row r="826" ht="15.75" customHeight="1" s="77"/>
    <row r="827" ht="15.75" customHeight="1" s="77"/>
    <row r="828" ht="15.75" customHeight="1" s="77"/>
    <row r="829" ht="15.75" customHeight="1" s="77"/>
    <row r="830" ht="15.75" customHeight="1" s="77"/>
    <row r="831" ht="15.75" customHeight="1" s="77"/>
    <row r="832" ht="15.75" customHeight="1" s="77"/>
    <row r="833" ht="15.75" customHeight="1" s="77"/>
    <row r="834" ht="15.75" customHeight="1" s="77"/>
    <row r="835" ht="15.75" customHeight="1" s="77"/>
    <row r="836" ht="15.75" customHeight="1" s="77"/>
    <row r="837" ht="15.75" customHeight="1" s="77"/>
    <row r="838" ht="15.75" customHeight="1" s="77"/>
    <row r="839" ht="15.75" customHeight="1" s="77"/>
    <row r="840" ht="15.75" customHeight="1" s="77"/>
    <row r="841" ht="15.75" customHeight="1" s="77"/>
    <row r="842" ht="15.75" customHeight="1" s="77"/>
    <row r="843" ht="15.75" customHeight="1" s="77"/>
    <row r="844" ht="15.75" customHeight="1" s="77"/>
    <row r="845" ht="15.75" customHeight="1" s="77"/>
    <row r="846" ht="15.75" customHeight="1" s="77"/>
    <row r="847" ht="15.75" customHeight="1" s="77"/>
    <row r="848" ht="15.75" customHeight="1" s="77"/>
    <row r="849" ht="15.75" customHeight="1" s="77"/>
    <row r="850" ht="15.75" customHeight="1" s="77"/>
    <row r="851" ht="15.75" customHeight="1" s="77"/>
    <row r="852" ht="15.75" customHeight="1" s="77"/>
    <row r="853" ht="15.75" customHeight="1" s="77"/>
    <row r="854" ht="15.75" customHeight="1" s="77"/>
    <row r="855" ht="15.75" customHeight="1" s="77"/>
    <row r="856" ht="15.75" customHeight="1" s="77"/>
    <row r="857" ht="15.75" customHeight="1" s="77"/>
    <row r="858" ht="15.75" customHeight="1" s="77"/>
    <row r="859" ht="15.75" customHeight="1" s="77"/>
    <row r="860" ht="15.75" customHeight="1" s="77"/>
    <row r="861" ht="15.75" customHeight="1" s="77"/>
    <row r="862" ht="15.75" customHeight="1" s="77"/>
    <row r="863" ht="15.75" customHeight="1" s="77"/>
    <row r="864" ht="15.75" customHeight="1" s="77"/>
    <row r="865" ht="15.75" customHeight="1" s="77"/>
    <row r="866" ht="15.75" customHeight="1" s="77"/>
    <row r="867" ht="15.75" customHeight="1" s="77"/>
    <row r="868" ht="15.75" customHeight="1" s="77"/>
    <row r="869" ht="15.75" customHeight="1" s="77"/>
    <row r="870" ht="15.75" customHeight="1" s="77"/>
    <row r="871" ht="15.75" customHeight="1" s="77"/>
    <row r="872" ht="15.75" customHeight="1" s="77"/>
    <row r="873" ht="15.75" customHeight="1" s="77"/>
    <row r="874" ht="15.75" customHeight="1" s="77"/>
    <row r="875" ht="15.75" customHeight="1" s="77"/>
    <row r="876" ht="15.75" customHeight="1" s="77"/>
    <row r="877" ht="15.75" customHeight="1" s="77"/>
    <row r="878" ht="15.75" customHeight="1" s="77"/>
    <row r="879" ht="15.75" customHeight="1" s="77"/>
    <row r="880" ht="15.75" customHeight="1" s="77"/>
    <row r="881" ht="15.75" customHeight="1" s="77"/>
    <row r="882" ht="15.75" customHeight="1" s="77"/>
    <row r="883" ht="15.75" customHeight="1" s="77"/>
    <row r="884" ht="15.75" customHeight="1" s="77"/>
    <row r="885" ht="15.75" customHeight="1" s="77"/>
    <row r="886" ht="15.75" customHeight="1" s="77"/>
    <row r="887" ht="15.75" customHeight="1" s="77"/>
    <row r="888" ht="15.75" customHeight="1" s="77"/>
    <row r="889" ht="15.75" customHeight="1" s="77"/>
    <row r="890" ht="15.75" customHeight="1" s="77"/>
    <row r="891" ht="15.75" customHeight="1" s="77"/>
    <row r="892" ht="15.75" customHeight="1" s="77"/>
    <row r="893" ht="15.75" customHeight="1" s="77"/>
    <row r="894" ht="15.75" customHeight="1" s="77"/>
    <row r="895" ht="15.75" customHeight="1" s="77"/>
    <row r="896" ht="15.75" customHeight="1" s="77"/>
    <row r="897" ht="15.75" customHeight="1" s="77"/>
    <row r="898" ht="15.75" customHeight="1" s="77"/>
    <row r="899" ht="15.75" customHeight="1" s="77"/>
    <row r="900" ht="15.75" customHeight="1" s="77"/>
    <row r="901" ht="15.75" customHeight="1" s="77"/>
    <row r="902" ht="15.75" customHeight="1" s="77"/>
    <row r="903" ht="15.75" customHeight="1" s="77"/>
    <row r="904" ht="15.75" customHeight="1" s="77"/>
    <row r="905" ht="15.75" customHeight="1" s="77"/>
    <row r="906" ht="15.75" customHeight="1" s="77"/>
    <row r="907" ht="15.75" customHeight="1" s="77"/>
    <row r="908" ht="15.75" customHeight="1" s="77"/>
    <row r="909" ht="15.75" customHeight="1" s="77"/>
    <row r="910" ht="15.75" customHeight="1" s="77"/>
    <row r="911" ht="15.75" customHeight="1" s="77"/>
    <row r="912" ht="15.75" customHeight="1" s="77"/>
    <row r="913" ht="15.75" customHeight="1" s="77"/>
    <row r="914" ht="15.75" customHeight="1" s="77"/>
    <row r="915" ht="15.75" customHeight="1" s="77"/>
    <row r="916" ht="15.75" customHeight="1" s="77"/>
    <row r="917" ht="15.75" customHeight="1" s="77"/>
    <row r="918" ht="15.75" customHeight="1" s="77"/>
    <row r="919" ht="15.75" customHeight="1" s="77"/>
    <row r="920" ht="15.75" customHeight="1" s="77"/>
    <row r="921" ht="15.75" customHeight="1" s="77"/>
    <row r="922" ht="15.75" customHeight="1" s="77"/>
    <row r="923" ht="15.75" customHeight="1" s="77"/>
    <row r="924" ht="15.75" customHeight="1" s="77"/>
    <row r="925" ht="15.75" customHeight="1" s="77"/>
    <row r="926" ht="15.75" customHeight="1" s="77"/>
    <row r="927" ht="15.75" customHeight="1" s="77"/>
    <row r="928" ht="15.75" customHeight="1" s="77"/>
    <row r="929" ht="15.75" customHeight="1" s="77"/>
    <row r="930" ht="15.75" customHeight="1" s="77"/>
    <row r="931" ht="15.75" customHeight="1" s="77"/>
    <row r="932" ht="15.75" customHeight="1" s="77"/>
    <row r="933" ht="15.75" customHeight="1" s="77"/>
    <row r="934" ht="15.75" customHeight="1" s="77"/>
    <row r="935" ht="15.75" customHeight="1" s="77"/>
    <row r="936" ht="15.75" customHeight="1" s="77"/>
    <row r="937" ht="15.75" customHeight="1" s="77"/>
    <row r="938" ht="15.75" customHeight="1" s="77"/>
    <row r="939" ht="15.75" customHeight="1" s="77"/>
    <row r="940" ht="15.75" customHeight="1" s="77"/>
    <row r="941" ht="15.75" customHeight="1" s="77"/>
    <row r="942" ht="15.75" customHeight="1" s="77"/>
    <row r="943" ht="15.75" customHeight="1" s="77"/>
    <row r="944" ht="15.75" customHeight="1" s="77"/>
    <row r="945" ht="15.75" customHeight="1" s="77"/>
    <row r="946" ht="15.75" customHeight="1" s="77"/>
    <row r="947" ht="15.75" customHeight="1" s="77"/>
    <row r="948" ht="15.75" customHeight="1" s="77"/>
    <row r="949" ht="15.75" customHeight="1" s="77"/>
    <row r="950" ht="15.75" customHeight="1" s="77"/>
    <row r="951" ht="15.75" customHeight="1" s="77"/>
    <row r="952" ht="15.75" customHeight="1" s="77"/>
    <row r="953" ht="15.75" customHeight="1" s="77"/>
    <row r="954" ht="15.75" customHeight="1" s="77"/>
    <row r="955" ht="15.75" customHeight="1" s="77"/>
    <row r="956" ht="15.75" customHeight="1" s="77"/>
    <row r="957" ht="15.75" customHeight="1" s="77"/>
    <row r="958" ht="15.75" customHeight="1" s="77"/>
    <row r="959" ht="15.75" customHeight="1" s="77"/>
    <row r="960" ht="15.75" customHeight="1" s="77"/>
    <row r="961" ht="15.75" customHeight="1" s="77"/>
    <row r="962" ht="15.75" customHeight="1" s="77"/>
    <row r="963" ht="15.75" customHeight="1" s="77"/>
    <row r="964" ht="15.75" customHeight="1" s="77"/>
    <row r="965" ht="15.75" customHeight="1" s="77"/>
    <row r="966" ht="15.75" customHeight="1" s="77"/>
    <row r="967" ht="15.75" customHeight="1" s="77"/>
    <row r="968" ht="15.75" customHeight="1" s="77"/>
    <row r="969" ht="15.75" customHeight="1" s="77"/>
    <row r="970" ht="15.75" customHeight="1" s="77"/>
    <row r="971" ht="15.75" customHeight="1" s="77"/>
    <row r="972" ht="15.75" customHeight="1" s="77"/>
    <row r="973" ht="15.75" customHeight="1" s="77"/>
    <row r="974" ht="15.75" customHeight="1" s="77"/>
    <row r="975" ht="15.75" customHeight="1" s="77"/>
    <row r="976" ht="15.75" customHeight="1" s="77"/>
    <row r="977" ht="15.75" customHeight="1" s="77"/>
    <row r="978" ht="15.75" customHeight="1" s="77"/>
    <row r="979" ht="15.75" customHeight="1" s="77"/>
    <row r="980" ht="15.75" customHeight="1" s="77"/>
    <row r="981" ht="15.75" customHeight="1" s="77"/>
    <row r="982" ht="15.75" customHeight="1" s="77"/>
    <row r="983" ht="15.75" customHeight="1" s="77"/>
    <row r="984" ht="15.75" customHeight="1" s="77"/>
    <row r="985" ht="15.75" customHeight="1" s="77"/>
    <row r="986" ht="15.75" customHeight="1" s="77"/>
    <row r="987" ht="15.75" customHeight="1" s="77"/>
    <row r="988" ht="15.75" customHeight="1" s="77"/>
    <row r="989" ht="15.75" customHeight="1" s="77"/>
    <row r="990" ht="15.75" customHeight="1" s="77"/>
    <row r="991" ht="15.75" customHeight="1" s="77"/>
    <row r="992" ht="15.75" customHeight="1" s="77"/>
    <row r="993" ht="15.75" customHeight="1" s="77"/>
    <row r="994" ht="15.75" customHeight="1" s="77"/>
    <row r="995" ht="15.75" customHeight="1" s="77"/>
    <row r="996" ht="15.75" customHeight="1" s="77"/>
    <row r="997" ht="15.75" customHeight="1" s="77"/>
    <row r="998" ht="15.75" customHeight="1" s="77"/>
    <row r="999" ht="15.75" customHeight="1" s="77"/>
    <row r="1000" ht="15.75" customHeight="1" s="77"/>
  </sheetData>
  <mergeCells count="6">
    <mergeCell ref="A12:H12"/>
    <mergeCell ref="A3:H3"/>
    <mergeCell ref="A19:H19"/>
    <mergeCell ref="A1:H1"/>
    <mergeCell ref="A23:H23"/>
    <mergeCell ref="A6:H6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77" min="1" max="1"/>
    <col width="35" customWidth="1" style="77" min="2" max="2"/>
    <col width="12" customWidth="1" style="77" min="3" max="3"/>
    <col width="15" customWidth="1" style="77" min="4" max="4"/>
    <col width="12" customWidth="1" style="77" min="5" max="5"/>
    <col width="15" customWidth="1" style="77" min="6" max="6"/>
    <col width="12" customWidth="1" style="77" min="7" max="7"/>
    <col width="8.859999999999999" customWidth="1" style="77" min="8" max="26"/>
  </cols>
  <sheetData>
    <row r="1" ht="30" customHeight="1" s="77">
      <c r="A1" s="78" t="inlineStr">
        <is>
          <t>3️⃣ PRODUITS &amp; SERVICES</t>
        </is>
      </c>
    </row>
    <row r="3">
      <c r="A3" s="80" t="inlineStr">
        <is>
          <t>💡 Listez tous vos produits et services. Ajoutez autant de lignes que nécessaire.</t>
        </is>
      </c>
    </row>
    <row r="5">
      <c r="A5" s="28" t="inlineStr">
        <is>
          <t>#</t>
        </is>
      </c>
      <c r="B5" s="28" t="inlineStr">
        <is>
          <t>Nom du Produit/Service</t>
        </is>
      </c>
      <c r="C5" s="28" t="inlineStr">
        <is>
          <t>Type</t>
        </is>
      </c>
      <c r="D5" s="28" t="inlineStr">
        <is>
          <t>Prix Unitaire</t>
        </is>
      </c>
      <c r="E5" s="28" t="inlineStr">
        <is>
          <t>Unité</t>
        </is>
      </c>
      <c r="F5" s="28" t="inlineStr">
        <is>
          <t>Coût Unitaire</t>
        </is>
      </c>
      <c r="G5" s="28" t="inlineStr">
        <is>
          <t>Marge %</t>
        </is>
      </c>
    </row>
    <row r="6">
      <c r="A6" s="16" t="n">
        <v>1</v>
      </c>
      <c r="B6" s="16" t="inlineStr">
        <is>
          <t>Manioc</t>
        </is>
      </c>
      <c r="C6" s="16" t="inlineStr">
        <is>
          <t>Produit</t>
        </is>
      </c>
      <c r="D6" s="32" t="n">
        <v>150</v>
      </c>
      <c r="E6" s="16" t="inlineStr">
        <is>
          <t>kg</t>
        </is>
      </c>
      <c r="F6" s="32" t="n">
        <v>90</v>
      </c>
      <c r="G6" s="33">
        <f>((D7-F7)/D7)*100</f>
        <v/>
      </c>
    </row>
    <row r="7">
      <c r="A7" s="16" t="n">
        <v>2</v>
      </c>
      <c r="B7" s="16" t="inlineStr">
        <is>
          <t>Maïs</t>
        </is>
      </c>
      <c r="C7" s="16" t="inlineStr">
        <is>
          <t>Produit</t>
        </is>
      </c>
      <c r="D7" s="32" t="n">
        <v>120</v>
      </c>
      <c r="E7" s="16" t="inlineStr">
        <is>
          <t>kg</t>
        </is>
      </c>
      <c r="F7" s="32" t="n">
        <v>72</v>
      </c>
      <c r="G7" s="33">
        <f>((D8-F8)/D8)*100</f>
        <v/>
      </c>
    </row>
    <row r="8">
      <c r="A8" s="16" t="n">
        <v>3</v>
      </c>
      <c r="B8" s="16" t="inlineStr">
        <is>
          <t>Arachide</t>
        </is>
      </c>
      <c r="C8" s="16" t="inlineStr">
        <is>
          <t>Produit</t>
        </is>
      </c>
      <c r="D8" s="32" t="n">
        <v>300</v>
      </c>
      <c r="E8" s="16" t="inlineStr">
        <is>
          <t>kg</t>
        </is>
      </c>
      <c r="F8" s="32" t="n">
        <v>180</v>
      </c>
      <c r="G8" s="33">
        <f>((D9-F9)/D9)*100</f>
        <v/>
      </c>
    </row>
    <row r="9">
      <c r="A9" s="16" t="n">
        <v>4</v>
      </c>
      <c r="B9" s="16" t="inlineStr">
        <is>
          <t>Transformation de manioc</t>
        </is>
      </c>
      <c r="C9" s="16" t="inlineStr">
        <is>
          <t>Service</t>
        </is>
      </c>
      <c r="D9" s="32" t="n">
        <v>200</v>
      </c>
      <c r="E9" s="16" t="inlineStr">
        <is>
          <t>tonne</t>
        </is>
      </c>
      <c r="F9" s="32" t="n">
        <v>120</v>
      </c>
      <c r="G9" s="33">
        <f>((D10-F10)/D10)*100</f>
        <v/>
      </c>
    </row>
    <row r="10">
      <c r="A10" s="16" t="n">
        <v>5</v>
      </c>
      <c r="B10" s="16" t="inlineStr">
        <is>
          <t>Services agricoles</t>
        </is>
      </c>
      <c r="C10" s="16" t="inlineStr">
        <is>
          <t>Service</t>
        </is>
      </c>
      <c r="D10" s="32" t="n">
        <v>150</v>
      </c>
      <c r="E10" s="16" t="inlineStr">
        <is>
          <t>hectare</t>
        </is>
      </c>
      <c r="F10" s="32" t="n">
        <v>90</v>
      </c>
      <c r="G10" s="33">
        <f>((D11-F11)/D11)*100</f>
        <v/>
      </c>
    </row>
    <row r="12">
      <c r="A12" s="81" t="inlineStr">
        <is>
          <t>👇 VOS PRODUITS/SERVICES</t>
        </is>
      </c>
    </row>
    <row r="13">
      <c r="A13" s="35" t="n">
        <v>1</v>
      </c>
      <c r="B13" s="15" t="inlineStr">
        <is>
          <t>Briques écologiques (pavement)</t>
        </is>
      </c>
      <c r="C13" s="15" t="inlineStr">
        <is>
          <t>Produit</t>
        </is>
      </c>
      <c r="D13" s="31" t="n">
        <v>150</v>
      </c>
      <c r="E13" s="15" t="inlineStr">
        <is>
          <t>unité</t>
        </is>
      </c>
      <c r="F13" s="31" t="n">
        <v>60</v>
      </c>
      <c r="G13" s="34" t="inlineStr">
        <is>
          <t>60%</t>
        </is>
      </c>
    </row>
    <row r="14">
      <c r="A14" s="35" t="n">
        <v>2</v>
      </c>
      <c r="B14" s="15" t="inlineStr">
        <is>
          <t>Parpaings écologiques</t>
        </is>
      </c>
      <c r="C14" s="15" t="inlineStr">
        <is>
          <t>Produit</t>
        </is>
      </c>
      <c r="D14" s="31" t="n">
        <v>350</v>
      </c>
      <c r="E14" s="15" t="inlineStr">
        <is>
          <t>unité</t>
        </is>
      </c>
      <c r="F14" s="31" t="n">
        <v>140</v>
      </c>
      <c r="G14" s="34" t="inlineStr">
        <is>
          <t>60%</t>
        </is>
      </c>
    </row>
    <row r="15">
      <c r="A15" s="35" t="n">
        <v>3</v>
      </c>
      <c r="B15" s="15" t="inlineStr">
        <is>
          <t>Conseil construction durable</t>
        </is>
      </c>
      <c r="C15" s="15" t="inlineStr">
        <is>
          <t>Service</t>
        </is>
      </c>
      <c r="D15" s="31" t="n">
        <v>500000</v>
      </c>
      <c r="E15" s="15" t="inlineStr">
        <is>
          <t>mission</t>
        </is>
      </c>
      <c r="F15" s="31" t="n">
        <v>150000</v>
      </c>
      <c r="G15" s="34" t="inlineStr">
        <is>
          <t>70%</t>
        </is>
      </c>
    </row>
    <row r="16">
      <c r="A16" s="35" t="n">
        <v>4</v>
      </c>
      <c r="B16" s="15" t="inlineStr">
        <is>
          <t>Formation recyclage</t>
        </is>
      </c>
      <c r="C16" s="15" t="inlineStr">
        <is>
          <t>Service</t>
        </is>
      </c>
      <c r="D16" s="31" t="n">
        <v>200000</v>
      </c>
      <c r="E16" s="15" t="inlineStr">
        <is>
          <t>session</t>
        </is>
      </c>
      <c r="F16" s="31" t="n">
        <v>80000</v>
      </c>
      <c r="G16" s="34" t="inlineStr">
        <is>
          <t>60%</t>
        </is>
      </c>
      <c r="J16" s="35" t="inlineStr">
        <is>
          <t>ASSAMA</t>
        </is>
      </c>
    </row>
    <row r="17">
      <c r="A17" s="35" t="n">
        <v>5</v>
      </c>
      <c r="B17" s="15" t="n"/>
      <c r="C17" s="15" t="n"/>
      <c r="D17" s="31" t="n"/>
      <c r="E17" s="15" t="n"/>
      <c r="F17" s="31" t="n"/>
      <c r="G17" s="34">
        <f>IF(AND(D17&lt;&gt;0,F17&lt;&gt;0),((D17-F17)/D17)*100,"")</f>
        <v/>
      </c>
    </row>
    <row r="18">
      <c r="A18" s="35" t="n">
        <v>6</v>
      </c>
      <c r="B18" s="15" t="n"/>
      <c r="C18" s="15" t="n"/>
      <c r="D18" s="31" t="n"/>
      <c r="E18" s="15" t="n"/>
      <c r="F18" s="31" t="n"/>
      <c r="G18" s="34">
        <f>IF(AND(D18&lt;&gt;0,F18&lt;&gt;0),((D18-F18)/D18)*100,"")</f>
        <v/>
      </c>
    </row>
    <row r="19">
      <c r="A19" s="35" t="n">
        <v>7</v>
      </c>
      <c r="B19" s="15" t="n"/>
      <c r="C19" s="15" t="n"/>
      <c r="D19" s="31" t="n"/>
      <c r="E19" s="15" t="n"/>
      <c r="F19" s="31" t="n"/>
      <c r="G19" s="34">
        <f>IF(AND(D19&lt;&gt;0,F19&lt;&gt;0),((D19-F19)/D19)*100,"")</f>
        <v/>
      </c>
    </row>
    <row r="20">
      <c r="A20" s="35" t="n">
        <v>8</v>
      </c>
      <c r="B20" s="15" t="n"/>
      <c r="C20" s="15" t="n"/>
      <c r="D20" s="31" t="n"/>
      <c r="E20" s="15" t="n"/>
      <c r="F20" s="31" t="n"/>
      <c r="G20" s="34">
        <f>IF(AND(D20&lt;&gt;0,F20&lt;&gt;0),((D20-F20)/D20)*100,"")</f>
        <v/>
      </c>
    </row>
    <row r="21" ht="15.75" customHeight="1" s="77">
      <c r="A21" s="35" t="n">
        <v>9</v>
      </c>
      <c r="B21" s="15" t="n"/>
      <c r="C21" s="15" t="n"/>
      <c r="D21" s="31" t="n"/>
      <c r="E21" s="15" t="n"/>
      <c r="F21" s="31" t="n"/>
      <c r="G21" s="34">
        <f>IF(AND(D21&lt;&gt;0,F21&lt;&gt;0),((D21-F21)/D21)*100,"")</f>
        <v/>
      </c>
    </row>
    <row r="22" ht="15.75" customHeight="1" s="77">
      <c r="A22" s="35" t="n">
        <v>10</v>
      </c>
      <c r="B22" s="15" t="n"/>
      <c r="C22" s="15" t="n"/>
      <c r="D22" s="31" t="n"/>
      <c r="E22" s="15" t="n"/>
      <c r="F22" s="31" t="n"/>
      <c r="G22" s="34">
        <f>IF(AND(D22&lt;&gt;0,F22&lt;&gt;0),((D22-F22)/D22)*100,"")</f>
        <v/>
      </c>
    </row>
    <row r="23" ht="15.75" customHeight="1" s="77">
      <c r="A23" s="35" t="n">
        <v>11</v>
      </c>
      <c r="B23" s="15" t="n"/>
      <c r="C23" s="15" t="n"/>
      <c r="D23" s="31" t="n"/>
      <c r="E23" s="15" t="n"/>
      <c r="F23" s="31" t="n"/>
      <c r="G23" s="34">
        <f>IF(AND(D23&lt;&gt;0,F23&lt;&gt;0),((D23-F23)/D23)*100,"")</f>
        <v/>
      </c>
    </row>
    <row r="24" ht="15.75" customHeight="1" s="77">
      <c r="A24" s="35" t="n">
        <v>12</v>
      </c>
      <c r="B24" s="15" t="n"/>
      <c r="C24" s="15" t="n"/>
      <c r="D24" s="31" t="n"/>
      <c r="E24" s="15" t="n"/>
      <c r="F24" s="31" t="n"/>
      <c r="G24" s="34">
        <f>IF(AND(D24&lt;&gt;0,F24&lt;&gt;0),((D24-F24)/D24)*100,"")</f>
        <v/>
      </c>
    </row>
    <row r="25" ht="15.75" customHeight="1" s="77">
      <c r="A25" s="35" t="n">
        <v>13</v>
      </c>
      <c r="B25" s="15" t="n"/>
      <c r="C25" s="15" t="n"/>
      <c r="D25" s="31" t="n"/>
      <c r="E25" s="15" t="n"/>
      <c r="F25" s="31" t="n"/>
      <c r="G25" s="34">
        <f>IF(AND(D25&lt;&gt;0,F25&lt;&gt;0),((D25-F25)/D25)*100,"")</f>
        <v/>
      </c>
    </row>
    <row r="26" ht="15.75" customHeight="1" s="77">
      <c r="A26" s="35" t="n">
        <v>14</v>
      </c>
      <c r="B26" s="15" t="n"/>
      <c r="C26" s="15" t="n"/>
      <c r="D26" s="31" t="n"/>
      <c r="E26" s="15" t="n"/>
      <c r="F26" s="31" t="n"/>
      <c r="G26" s="34">
        <f>IF(AND(D26&lt;&gt;0,F26&lt;&gt;0),((D26-F26)/D26)*100,"")</f>
        <v/>
      </c>
    </row>
    <row r="27" ht="15.75" customHeight="1" s="77">
      <c r="A27" s="35" t="n">
        <v>15</v>
      </c>
      <c r="B27" s="15" t="n"/>
      <c r="C27" s="15" t="n"/>
      <c r="D27" s="31" t="n"/>
      <c r="E27" s="15" t="n"/>
      <c r="F27" s="31" t="n"/>
      <c r="G27" s="34">
        <f>IF(AND(D27&lt;&gt;0,F27&lt;&gt;0),((D27-F27)/D27)*100,"")</f>
        <v/>
      </c>
    </row>
    <row r="28" ht="15.75" customHeight="1" s="77"/>
    <row r="29" ht="15.75" customHeight="1" s="77"/>
    <row r="30" ht="15.75" customHeight="1" s="77"/>
    <row r="31" ht="15.75" customHeight="1" s="77"/>
    <row r="32" ht="15.75" customHeight="1" s="77"/>
    <row r="33" ht="15.75" customHeight="1" s="77"/>
    <row r="34" ht="15.75" customHeight="1" s="77"/>
    <row r="35" ht="15.75" customHeight="1" s="77"/>
    <row r="36" ht="15.75" customHeight="1" s="77"/>
    <row r="37" ht="15.75" customHeight="1" s="77"/>
    <row r="38" ht="15.75" customHeight="1" s="77"/>
    <row r="39" ht="15.75" customHeight="1" s="77"/>
    <row r="40" ht="15.75" customHeight="1" s="77"/>
    <row r="41" ht="15.75" customHeight="1" s="77"/>
    <row r="42" ht="15.75" customHeight="1" s="77"/>
    <row r="43" ht="15.75" customHeight="1" s="77"/>
    <row r="44" ht="15.75" customHeight="1" s="77"/>
    <row r="45" ht="15.75" customHeight="1" s="77"/>
    <row r="46" ht="15.75" customHeight="1" s="77"/>
    <row r="47" ht="15.75" customHeight="1" s="77"/>
    <row r="48" ht="15.75" customHeight="1" s="77"/>
    <row r="49" ht="15.75" customHeight="1" s="77"/>
    <row r="50" ht="15.75" customHeight="1" s="77"/>
    <row r="51" ht="15.75" customHeight="1" s="77"/>
    <row r="52" ht="15.75" customHeight="1" s="77"/>
    <row r="53" ht="15.75" customHeight="1" s="77"/>
    <row r="54" ht="15.75" customHeight="1" s="77"/>
    <row r="55" ht="15.75" customHeight="1" s="77"/>
    <row r="56" ht="15.75" customHeight="1" s="77"/>
    <row r="57" ht="15.75" customHeight="1" s="77"/>
    <row r="58" ht="15.75" customHeight="1" s="77"/>
    <row r="59" ht="15.75" customHeight="1" s="77"/>
    <row r="60" ht="15.75" customHeight="1" s="77"/>
    <row r="61" ht="15.75" customHeight="1" s="77"/>
    <row r="62" ht="15.75" customHeight="1" s="77"/>
    <row r="63" ht="15.75" customHeight="1" s="77"/>
    <row r="64" ht="15.75" customHeight="1" s="77"/>
    <row r="65" ht="15.75" customHeight="1" s="77"/>
    <row r="66" ht="15.75" customHeight="1" s="77"/>
    <row r="67" ht="15.75" customHeight="1" s="77"/>
    <row r="68" ht="15.75" customHeight="1" s="77"/>
    <row r="69" ht="15.75" customHeight="1" s="77"/>
    <row r="70" ht="15.75" customHeight="1" s="77"/>
    <row r="71" ht="15.75" customHeight="1" s="77"/>
    <row r="72" ht="15.75" customHeight="1" s="77"/>
    <row r="73" ht="15.75" customHeight="1" s="77"/>
    <row r="74" ht="15.75" customHeight="1" s="77"/>
    <row r="75" ht="15.75" customHeight="1" s="77"/>
    <row r="76" ht="15.75" customHeight="1" s="77"/>
    <row r="77" ht="15.75" customHeight="1" s="77"/>
    <row r="78" ht="15.75" customHeight="1" s="77"/>
    <row r="79" ht="15.75" customHeight="1" s="77"/>
    <row r="80" ht="15.75" customHeight="1" s="77"/>
    <row r="81" ht="15.75" customHeight="1" s="77"/>
    <row r="82" ht="15.75" customHeight="1" s="77"/>
    <row r="83" ht="15.75" customHeight="1" s="77"/>
    <row r="84" ht="15.75" customHeight="1" s="77"/>
    <row r="85" ht="15.75" customHeight="1" s="77"/>
    <row r="86" ht="15.75" customHeight="1" s="77"/>
    <row r="87" ht="15.75" customHeight="1" s="77"/>
    <row r="88" ht="15.75" customHeight="1" s="77"/>
    <row r="89" ht="15.75" customHeight="1" s="77"/>
    <row r="90" ht="15.75" customHeight="1" s="77"/>
    <row r="91" ht="15.75" customHeight="1" s="77"/>
    <row r="92" ht="15.75" customHeight="1" s="77"/>
    <row r="93" ht="15.75" customHeight="1" s="77"/>
    <row r="94" ht="15.75" customHeight="1" s="77"/>
    <row r="95" ht="15.75" customHeight="1" s="77"/>
    <row r="96" ht="15.75" customHeight="1" s="77"/>
    <row r="97" ht="15.75" customHeight="1" s="77"/>
    <row r="98" ht="15.75" customHeight="1" s="77"/>
    <row r="99" ht="15.75" customHeight="1" s="77"/>
    <row r="100" ht="15.75" customHeight="1" s="77"/>
    <row r="101" ht="15.75" customHeight="1" s="77"/>
    <row r="102" ht="15.75" customHeight="1" s="77"/>
    <row r="103" ht="15.75" customHeight="1" s="77"/>
    <row r="104" ht="15.75" customHeight="1" s="77"/>
    <row r="105" ht="15.75" customHeight="1" s="77"/>
    <row r="106" ht="15.75" customHeight="1" s="77"/>
    <row r="107" ht="15.75" customHeight="1" s="77"/>
    <row r="108" ht="15.75" customHeight="1" s="77"/>
    <row r="109" ht="15.75" customHeight="1" s="77"/>
    <row r="110" ht="15.75" customHeight="1" s="77"/>
    <row r="111" ht="15.75" customHeight="1" s="77"/>
    <row r="112" ht="15.75" customHeight="1" s="77"/>
    <row r="113" ht="15.75" customHeight="1" s="77"/>
    <row r="114" ht="15.75" customHeight="1" s="77"/>
    <row r="115" ht="15.75" customHeight="1" s="77"/>
    <row r="116" ht="15.75" customHeight="1" s="77"/>
    <row r="117" ht="15.75" customHeight="1" s="77"/>
    <row r="118" ht="15.75" customHeight="1" s="77"/>
    <row r="119" ht="15.75" customHeight="1" s="77"/>
    <row r="120" ht="15.75" customHeight="1" s="77"/>
    <row r="121" ht="15.75" customHeight="1" s="77"/>
    <row r="122" ht="15.75" customHeight="1" s="77"/>
    <row r="123" ht="15.75" customHeight="1" s="77"/>
    <row r="124" ht="15.75" customHeight="1" s="77"/>
    <row r="125" ht="15.75" customHeight="1" s="77"/>
    <row r="126" ht="15.75" customHeight="1" s="77"/>
    <row r="127" ht="15.75" customHeight="1" s="77"/>
    <row r="128" ht="15.75" customHeight="1" s="77"/>
    <row r="129" ht="15.75" customHeight="1" s="77"/>
    <row r="130" ht="15.75" customHeight="1" s="77"/>
    <row r="131" ht="15.75" customHeight="1" s="77"/>
    <row r="132" ht="15.75" customHeight="1" s="77"/>
    <row r="133" ht="15.75" customHeight="1" s="77"/>
    <row r="134" ht="15.75" customHeight="1" s="77"/>
    <row r="135" ht="15.75" customHeight="1" s="77"/>
    <row r="136" ht="15.75" customHeight="1" s="77"/>
    <row r="137" ht="15.75" customHeight="1" s="77"/>
    <row r="138" ht="15.75" customHeight="1" s="77"/>
    <row r="139" ht="15.75" customHeight="1" s="77"/>
    <row r="140" ht="15.75" customHeight="1" s="77"/>
    <row r="141" ht="15.75" customHeight="1" s="77"/>
    <row r="142" ht="15.75" customHeight="1" s="77"/>
    <row r="143" ht="15.75" customHeight="1" s="77"/>
    <row r="144" ht="15.75" customHeight="1" s="77"/>
    <row r="145" ht="15.75" customHeight="1" s="77"/>
    <row r="146" ht="15.75" customHeight="1" s="77"/>
    <row r="147" ht="15.75" customHeight="1" s="77"/>
    <row r="148" ht="15.75" customHeight="1" s="77"/>
    <row r="149" ht="15.75" customHeight="1" s="77"/>
    <row r="150" ht="15.75" customHeight="1" s="77"/>
    <row r="151" ht="15.75" customHeight="1" s="77"/>
    <row r="152" ht="15.75" customHeight="1" s="77"/>
    <row r="153" ht="15.75" customHeight="1" s="77"/>
    <row r="154" ht="15.75" customHeight="1" s="77"/>
    <row r="155" ht="15.75" customHeight="1" s="77"/>
    <row r="156" ht="15.75" customHeight="1" s="77"/>
    <row r="157" ht="15.75" customHeight="1" s="77"/>
    <row r="158" ht="15.75" customHeight="1" s="77"/>
    <row r="159" ht="15.75" customHeight="1" s="77"/>
    <row r="160" ht="15.75" customHeight="1" s="77"/>
    <row r="161" ht="15.75" customHeight="1" s="77"/>
    <row r="162" ht="15.75" customHeight="1" s="77"/>
    <row r="163" ht="15.75" customHeight="1" s="77"/>
    <row r="164" ht="15.75" customHeight="1" s="77"/>
    <row r="165" ht="15.75" customHeight="1" s="77"/>
    <row r="166" ht="15.75" customHeight="1" s="77"/>
    <row r="167" ht="15.75" customHeight="1" s="77"/>
    <row r="168" ht="15.75" customHeight="1" s="77"/>
    <row r="169" ht="15.75" customHeight="1" s="77"/>
    <row r="170" ht="15.75" customHeight="1" s="77"/>
    <row r="171" ht="15.75" customHeight="1" s="77"/>
    <row r="172" ht="15.75" customHeight="1" s="77"/>
    <row r="173" ht="15.75" customHeight="1" s="77"/>
    <row r="174" ht="15.75" customHeight="1" s="77"/>
    <row r="175" ht="15.75" customHeight="1" s="77"/>
    <row r="176" ht="15.75" customHeight="1" s="77"/>
    <row r="177" ht="15.75" customHeight="1" s="77"/>
    <row r="178" ht="15.75" customHeight="1" s="77"/>
    <row r="179" ht="15.75" customHeight="1" s="77"/>
    <row r="180" ht="15.75" customHeight="1" s="77"/>
    <row r="181" ht="15.75" customHeight="1" s="77"/>
    <row r="182" ht="15.75" customHeight="1" s="77"/>
    <row r="183" ht="15.75" customHeight="1" s="77"/>
    <row r="184" ht="15.75" customHeight="1" s="77"/>
    <row r="185" ht="15.75" customHeight="1" s="77"/>
    <row r="186" ht="15.75" customHeight="1" s="77"/>
    <row r="187" ht="15.75" customHeight="1" s="77"/>
    <row r="188" ht="15.75" customHeight="1" s="77"/>
    <row r="189" ht="15.75" customHeight="1" s="77"/>
    <row r="190" ht="15.75" customHeight="1" s="77"/>
    <row r="191" ht="15.75" customHeight="1" s="77"/>
    <row r="192" ht="15.75" customHeight="1" s="77"/>
    <row r="193" ht="15.75" customHeight="1" s="77"/>
    <row r="194" ht="15.75" customHeight="1" s="77"/>
    <row r="195" ht="15.75" customHeight="1" s="77"/>
    <row r="196" ht="15.75" customHeight="1" s="77"/>
    <row r="197" ht="15.75" customHeight="1" s="77"/>
    <row r="198" ht="15.75" customHeight="1" s="77"/>
    <row r="199" ht="15.75" customHeight="1" s="77"/>
    <row r="200" ht="15.75" customHeight="1" s="77"/>
    <row r="201" ht="15.75" customHeight="1" s="77"/>
    <row r="202" ht="15.75" customHeight="1" s="77"/>
    <row r="203" ht="15.75" customHeight="1" s="77"/>
    <row r="204" ht="15.75" customHeight="1" s="77"/>
    <row r="205" ht="15.75" customHeight="1" s="77"/>
    <row r="206" ht="15.75" customHeight="1" s="77"/>
    <row r="207" ht="15.75" customHeight="1" s="77"/>
    <row r="208" ht="15.75" customHeight="1" s="77"/>
    <row r="209" ht="15.75" customHeight="1" s="77"/>
    <row r="210" ht="15.75" customHeight="1" s="77"/>
    <row r="211" ht="15.75" customHeight="1" s="77"/>
    <row r="212" ht="15.75" customHeight="1" s="77"/>
    <row r="213" ht="15.75" customHeight="1" s="77"/>
    <row r="214" ht="15.75" customHeight="1" s="77"/>
    <row r="215" ht="15.75" customHeight="1" s="77"/>
    <row r="216" ht="15.75" customHeight="1" s="77"/>
    <row r="217" ht="15.75" customHeight="1" s="77"/>
    <row r="218" ht="15.75" customHeight="1" s="77"/>
    <row r="219" ht="15.75" customHeight="1" s="77"/>
    <row r="220" ht="15.75" customHeight="1" s="77"/>
    <row r="221" ht="15.75" customHeight="1" s="77"/>
    <row r="222" ht="15.75" customHeight="1" s="77"/>
    <row r="223" ht="15.75" customHeight="1" s="77"/>
    <row r="224" ht="15.75" customHeight="1" s="77"/>
    <row r="225" ht="15.75" customHeight="1" s="77"/>
    <row r="226" ht="15.75" customHeight="1" s="77"/>
    <row r="227" ht="15.75" customHeight="1" s="77"/>
    <row r="228" ht="15.75" customHeight="1" s="77"/>
    <row r="229" ht="15.75" customHeight="1" s="77"/>
    <row r="230" ht="15.75" customHeight="1" s="77"/>
    <row r="231" ht="15.75" customHeight="1" s="77"/>
    <row r="232" ht="15.75" customHeight="1" s="77"/>
    <row r="233" ht="15.75" customHeight="1" s="77"/>
    <row r="234" ht="15.75" customHeight="1" s="77"/>
    <row r="235" ht="15.75" customHeight="1" s="77"/>
    <row r="236" ht="15.75" customHeight="1" s="77"/>
    <row r="237" ht="15.75" customHeight="1" s="77"/>
    <row r="238" ht="15.75" customHeight="1" s="77"/>
    <row r="239" ht="15.75" customHeight="1" s="77"/>
    <row r="240" ht="15.75" customHeight="1" s="77"/>
    <row r="241" ht="15.75" customHeight="1" s="77"/>
    <row r="242" ht="15.75" customHeight="1" s="77"/>
    <row r="243" ht="15.75" customHeight="1" s="77"/>
    <row r="244" ht="15.75" customHeight="1" s="77"/>
    <row r="245" ht="15.75" customHeight="1" s="77"/>
    <row r="246" ht="15.75" customHeight="1" s="77"/>
    <row r="247" ht="15.75" customHeight="1" s="77"/>
    <row r="248" ht="15.75" customHeight="1" s="77"/>
    <row r="249" ht="15.75" customHeight="1" s="77"/>
    <row r="250" ht="15.75" customHeight="1" s="77"/>
    <row r="251" ht="15.75" customHeight="1" s="77"/>
    <row r="252" ht="15.75" customHeight="1" s="77"/>
    <row r="253" ht="15.75" customHeight="1" s="77"/>
    <row r="254" ht="15.75" customHeight="1" s="77"/>
    <row r="255" ht="15.75" customHeight="1" s="77"/>
    <row r="256" ht="15.75" customHeight="1" s="77"/>
    <row r="257" ht="15.75" customHeight="1" s="77"/>
    <row r="258" ht="15.75" customHeight="1" s="77"/>
    <row r="259" ht="15.75" customHeight="1" s="77"/>
    <row r="260" ht="15.75" customHeight="1" s="77"/>
    <row r="261" ht="15.75" customHeight="1" s="77"/>
    <row r="262" ht="15.75" customHeight="1" s="77"/>
    <row r="263" ht="15.75" customHeight="1" s="77"/>
    <row r="264" ht="15.75" customHeight="1" s="77"/>
    <row r="265" ht="15.75" customHeight="1" s="77"/>
    <row r="266" ht="15.75" customHeight="1" s="77"/>
    <row r="267" ht="15.75" customHeight="1" s="77"/>
    <row r="268" ht="15.75" customHeight="1" s="77"/>
    <row r="269" ht="15.75" customHeight="1" s="77"/>
    <row r="270" ht="15.75" customHeight="1" s="77"/>
    <row r="271" ht="15.75" customHeight="1" s="77"/>
    <row r="272" ht="15.75" customHeight="1" s="77"/>
    <row r="273" ht="15.75" customHeight="1" s="77"/>
    <row r="274" ht="15.75" customHeight="1" s="77"/>
    <row r="275" ht="15.75" customHeight="1" s="77"/>
    <row r="276" ht="15.75" customHeight="1" s="77"/>
    <row r="277" ht="15.75" customHeight="1" s="77"/>
    <row r="278" ht="15.75" customHeight="1" s="77"/>
    <row r="279" ht="15.75" customHeight="1" s="77"/>
    <row r="280" ht="15.75" customHeight="1" s="77"/>
    <row r="281" ht="15.75" customHeight="1" s="77"/>
    <row r="282" ht="15.75" customHeight="1" s="77"/>
    <row r="283" ht="15.75" customHeight="1" s="77"/>
    <row r="284" ht="15.75" customHeight="1" s="77"/>
    <row r="285" ht="15.75" customHeight="1" s="77"/>
    <row r="286" ht="15.75" customHeight="1" s="77"/>
    <row r="287" ht="15.75" customHeight="1" s="77"/>
    <row r="288" ht="15.75" customHeight="1" s="77"/>
    <row r="289" ht="15.75" customHeight="1" s="77"/>
    <row r="290" ht="15.75" customHeight="1" s="77"/>
    <row r="291" ht="15.75" customHeight="1" s="77"/>
    <row r="292" ht="15.75" customHeight="1" s="77"/>
    <row r="293" ht="15.75" customHeight="1" s="77"/>
    <row r="294" ht="15.75" customHeight="1" s="77"/>
    <row r="295" ht="15.75" customHeight="1" s="77"/>
    <row r="296" ht="15.75" customHeight="1" s="77"/>
    <row r="297" ht="15.75" customHeight="1" s="77"/>
    <row r="298" ht="15.75" customHeight="1" s="77"/>
    <row r="299" ht="15.75" customHeight="1" s="77"/>
    <row r="300" ht="15.75" customHeight="1" s="77"/>
    <row r="301" ht="15.75" customHeight="1" s="77"/>
    <row r="302" ht="15.75" customHeight="1" s="77"/>
    <row r="303" ht="15.75" customHeight="1" s="77"/>
    <row r="304" ht="15.75" customHeight="1" s="77"/>
    <row r="305" ht="15.75" customHeight="1" s="77"/>
    <row r="306" ht="15.75" customHeight="1" s="77"/>
    <row r="307" ht="15.75" customHeight="1" s="77"/>
    <row r="308" ht="15.75" customHeight="1" s="77"/>
    <row r="309" ht="15.75" customHeight="1" s="77"/>
    <row r="310" ht="15.75" customHeight="1" s="77"/>
    <row r="311" ht="15.75" customHeight="1" s="77"/>
    <row r="312" ht="15.75" customHeight="1" s="77"/>
    <row r="313" ht="15.75" customHeight="1" s="77"/>
    <row r="314" ht="15.75" customHeight="1" s="77"/>
    <row r="315" ht="15.75" customHeight="1" s="77"/>
    <row r="316" ht="15.75" customHeight="1" s="77"/>
    <row r="317" ht="15.75" customHeight="1" s="77"/>
    <row r="318" ht="15.75" customHeight="1" s="77"/>
    <row r="319" ht="15.75" customHeight="1" s="77"/>
    <row r="320" ht="15.75" customHeight="1" s="77"/>
    <row r="321" ht="15.75" customHeight="1" s="77"/>
    <row r="322" ht="15.75" customHeight="1" s="77"/>
    <row r="323" ht="15.75" customHeight="1" s="77"/>
    <row r="324" ht="15.75" customHeight="1" s="77"/>
    <row r="325" ht="15.75" customHeight="1" s="77"/>
    <row r="326" ht="15.75" customHeight="1" s="77"/>
    <row r="327" ht="15.75" customHeight="1" s="77"/>
    <row r="328" ht="15.75" customHeight="1" s="77"/>
    <row r="329" ht="15.75" customHeight="1" s="77"/>
    <row r="330" ht="15.75" customHeight="1" s="77"/>
    <row r="331" ht="15.75" customHeight="1" s="77"/>
    <row r="332" ht="15.75" customHeight="1" s="77"/>
    <row r="333" ht="15.75" customHeight="1" s="77"/>
    <row r="334" ht="15.75" customHeight="1" s="77"/>
    <row r="335" ht="15.75" customHeight="1" s="77"/>
    <row r="336" ht="15.75" customHeight="1" s="77"/>
    <row r="337" ht="15.75" customHeight="1" s="77"/>
    <row r="338" ht="15.75" customHeight="1" s="77"/>
    <row r="339" ht="15.75" customHeight="1" s="77"/>
    <row r="340" ht="15.75" customHeight="1" s="77"/>
    <row r="341" ht="15.75" customHeight="1" s="77"/>
    <row r="342" ht="15.75" customHeight="1" s="77"/>
    <row r="343" ht="15.75" customHeight="1" s="77"/>
    <row r="344" ht="15.75" customHeight="1" s="77"/>
    <row r="345" ht="15.75" customHeight="1" s="77"/>
    <row r="346" ht="15.75" customHeight="1" s="77"/>
    <row r="347" ht="15.75" customHeight="1" s="77"/>
    <row r="348" ht="15.75" customHeight="1" s="77"/>
    <row r="349" ht="15.75" customHeight="1" s="77"/>
    <row r="350" ht="15.75" customHeight="1" s="77"/>
    <row r="351" ht="15.75" customHeight="1" s="77"/>
    <row r="352" ht="15.75" customHeight="1" s="77"/>
    <row r="353" ht="15.75" customHeight="1" s="77"/>
    <row r="354" ht="15.75" customHeight="1" s="77"/>
    <row r="355" ht="15.75" customHeight="1" s="77"/>
    <row r="356" ht="15.75" customHeight="1" s="77"/>
    <row r="357" ht="15.75" customHeight="1" s="77"/>
    <row r="358" ht="15.75" customHeight="1" s="77"/>
    <row r="359" ht="15.75" customHeight="1" s="77"/>
    <row r="360" ht="15.75" customHeight="1" s="77"/>
    <row r="361" ht="15.75" customHeight="1" s="77"/>
    <row r="362" ht="15.75" customHeight="1" s="77"/>
    <row r="363" ht="15.75" customHeight="1" s="77"/>
    <row r="364" ht="15.75" customHeight="1" s="77"/>
    <row r="365" ht="15.75" customHeight="1" s="77"/>
    <row r="366" ht="15.75" customHeight="1" s="77"/>
    <row r="367" ht="15.75" customHeight="1" s="77"/>
    <row r="368" ht="15.75" customHeight="1" s="77"/>
    <row r="369" ht="15.75" customHeight="1" s="77"/>
    <row r="370" ht="15.75" customHeight="1" s="77"/>
    <row r="371" ht="15.75" customHeight="1" s="77"/>
    <row r="372" ht="15.75" customHeight="1" s="77"/>
    <row r="373" ht="15.75" customHeight="1" s="77"/>
    <row r="374" ht="15.75" customHeight="1" s="77"/>
    <row r="375" ht="15.75" customHeight="1" s="77"/>
    <row r="376" ht="15.75" customHeight="1" s="77"/>
    <row r="377" ht="15.75" customHeight="1" s="77"/>
    <row r="378" ht="15.75" customHeight="1" s="77"/>
    <row r="379" ht="15.75" customHeight="1" s="77"/>
    <row r="380" ht="15.75" customHeight="1" s="77"/>
    <row r="381" ht="15.75" customHeight="1" s="77"/>
    <row r="382" ht="15.75" customHeight="1" s="77"/>
    <row r="383" ht="15.75" customHeight="1" s="77"/>
    <row r="384" ht="15.75" customHeight="1" s="77"/>
    <row r="385" ht="15.75" customHeight="1" s="77"/>
    <row r="386" ht="15.75" customHeight="1" s="77"/>
    <row r="387" ht="15.75" customHeight="1" s="77"/>
    <row r="388" ht="15.75" customHeight="1" s="77"/>
    <row r="389" ht="15.75" customHeight="1" s="77"/>
    <row r="390" ht="15.75" customHeight="1" s="77"/>
    <row r="391" ht="15.75" customHeight="1" s="77"/>
    <row r="392" ht="15.75" customHeight="1" s="77"/>
    <row r="393" ht="15.75" customHeight="1" s="77"/>
    <row r="394" ht="15.75" customHeight="1" s="77"/>
    <row r="395" ht="15.75" customHeight="1" s="77"/>
    <row r="396" ht="15.75" customHeight="1" s="77"/>
    <row r="397" ht="15.75" customHeight="1" s="77"/>
    <row r="398" ht="15.75" customHeight="1" s="77"/>
    <row r="399" ht="15.75" customHeight="1" s="77"/>
    <row r="400" ht="15.75" customHeight="1" s="77"/>
    <row r="401" ht="15.75" customHeight="1" s="77"/>
    <row r="402" ht="15.75" customHeight="1" s="77"/>
    <row r="403" ht="15.75" customHeight="1" s="77"/>
    <row r="404" ht="15.75" customHeight="1" s="77"/>
    <row r="405" ht="15.75" customHeight="1" s="77"/>
    <row r="406" ht="15.75" customHeight="1" s="77"/>
    <row r="407" ht="15.75" customHeight="1" s="77"/>
    <row r="408" ht="15.75" customHeight="1" s="77"/>
    <row r="409" ht="15.75" customHeight="1" s="77"/>
    <row r="410" ht="15.75" customHeight="1" s="77"/>
    <row r="411" ht="15.75" customHeight="1" s="77"/>
    <row r="412" ht="15.75" customHeight="1" s="77"/>
    <row r="413" ht="15.75" customHeight="1" s="77"/>
    <row r="414" ht="15.75" customHeight="1" s="77"/>
    <row r="415" ht="15.75" customHeight="1" s="77"/>
    <row r="416" ht="15.75" customHeight="1" s="77"/>
    <row r="417" ht="15.75" customHeight="1" s="77"/>
    <row r="418" ht="15.75" customHeight="1" s="77"/>
    <row r="419" ht="15.75" customHeight="1" s="77"/>
    <row r="420" ht="15.75" customHeight="1" s="77"/>
    <row r="421" ht="15.75" customHeight="1" s="77"/>
    <row r="422" ht="15.75" customHeight="1" s="77"/>
    <row r="423" ht="15.75" customHeight="1" s="77"/>
    <row r="424" ht="15.75" customHeight="1" s="77"/>
    <row r="425" ht="15.75" customHeight="1" s="77"/>
    <row r="426" ht="15.75" customHeight="1" s="77"/>
    <row r="427" ht="15.75" customHeight="1" s="77"/>
    <row r="428" ht="15.75" customHeight="1" s="77"/>
    <row r="429" ht="15.75" customHeight="1" s="77"/>
    <row r="430" ht="15.75" customHeight="1" s="77"/>
    <row r="431" ht="15.75" customHeight="1" s="77"/>
    <row r="432" ht="15.75" customHeight="1" s="77"/>
    <row r="433" ht="15.75" customHeight="1" s="77"/>
    <row r="434" ht="15.75" customHeight="1" s="77"/>
    <row r="435" ht="15.75" customHeight="1" s="77"/>
    <row r="436" ht="15.75" customHeight="1" s="77"/>
    <row r="437" ht="15.75" customHeight="1" s="77"/>
    <row r="438" ht="15.75" customHeight="1" s="77"/>
    <row r="439" ht="15.75" customHeight="1" s="77"/>
    <row r="440" ht="15.75" customHeight="1" s="77"/>
    <row r="441" ht="15.75" customHeight="1" s="77"/>
    <row r="442" ht="15.75" customHeight="1" s="77"/>
    <row r="443" ht="15.75" customHeight="1" s="77"/>
    <row r="444" ht="15.75" customHeight="1" s="77"/>
    <row r="445" ht="15.75" customHeight="1" s="77"/>
    <row r="446" ht="15.75" customHeight="1" s="77"/>
    <row r="447" ht="15.75" customHeight="1" s="77"/>
    <row r="448" ht="15.75" customHeight="1" s="77"/>
    <row r="449" ht="15.75" customHeight="1" s="77"/>
    <row r="450" ht="15.75" customHeight="1" s="77"/>
    <row r="451" ht="15.75" customHeight="1" s="77"/>
    <row r="452" ht="15.75" customHeight="1" s="77"/>
    <row r="453" ht="15.75" customHeight="1" s="77"/>
    <row r="454" ht="15.75" customHeight="1" s="77"/>
    <row r="455" ht="15.75" customHeight="1" s="77"/>
    <row r="456" ht="15.75" customHeight="1" s="77"/>
    <row r="457" ht="15.75" customHeight="1" s="77"/>
    <row r="458" ht="15.75" customHeight="1" s="77"/>
    <row r="459" ht="15.75" customHeight="1" s="77"/>
    <row r="460" ht="15.75" customHeight="1" s="77"/>
    <row r="461" ht="15.75" customHeight="1" s="77"/>
    <row r="462" ht="15.75" customHeight="1" s="77"/>
    <row r="463" ht="15.75" customHeight="1" s="77"/>
    <row r="464" ht="15.75" customHeight="1" s="77"/>
    <row r="465" ht="15.75" customHeight="1" s="77"/>
    <row r="466" ht="15.75" customHeight="1" s="77"/>
    <row r="467" ht="15.75" customHeight="1" s="77"/>
    <row r="468" ht="15.75" customHeight="1" s="77"/>
    <row r="469" ht="15.75" customHeight="1" s="77"/>
    <row r="470" ht="15.75" customHeight="1" s="77"/>
    <row r="471" ht="15.75" customHeight="1" s="77"/>
    <row r="472" ht="15.75" customHeight="1" s="77"/>
    <row r="473" ht="15.75" customHeight="1" s="77"/>
    <row r="474" ht="15.75" customHeight="1" s="77"/>
    <row r="475" ht="15.75" customHeight="1" s="77"/>
    <row r="476" ht="15.75" customHeight="1" s="77"/>
    <row r="477" ht="15.75" customHeight="1" s="77"/>
    <row r="478" ht="15.75" customHeight="1" s="77"/>
    <row r="479" ht="15.75" customHeight="1" s="77"/>
    <row r="480" ht="15.75" customHeight="1" s="77"/>
    <row r="481" ht="15.75" customHeight="1" s="77"/>
    <row r="482" ht="15.75" customHeight="1" s="77"/>
    <row r="483" ht="15.75" customHeight="1" s="77"/>
    <row r="484" ht="15.75" customHeight="1" s="77"/>
    <row r="485" ht="15.75" customHeight="1" s="77"/>
    <row r="486" ht="15.75" customHeight="1" s="77"/>
    <row r="487" ht="15.75" customHeight="1" s="77"/>
    <row r="488" ht="15.75" customHeight="1" s="77"/>
    <row r="489" ht="15.75" customHeight="1" s="77"/>
    <row r="490" ht="15.75" customHeight="1" s="77"/>
    <row r="491" ht="15.75" customHeight="1" s="77"/>
    <row r="492" ht="15.75" customHeight="1" s="77"/>
    <row r="493" ht="15.75" customHeight="1" s="77"/>
    <row r="494" ht="15.75" customHeight="1" s="77"/>
    <row r="495" ht="15.75" customHeight="1" s="77"/>
    <row r="496" ht="15.75" customHeight="1" s="77"/>
    <row r="497" ht="15.75" customHeight="1" s="77"/>
    <row r="498" ht="15.75" customHeight="1" s="77"/>
    <row r="499" ht="15.75" customHeight="1" s="77"/>
    <row r="500" ht="15.75" customHeight="1" s="77"/>
    <row r="501" ht="15.75" customHeight="1" s="77"/>
    <row r="502" ht="15.75" customHeight="1" s="77"/>
    <row r="503" ht="15.75" customHeight="1" s="77"/>
    <row r="504" ht="15.75" customHeight="1" s="77"/>
    <row r="505" ht="15.75" customHeight="1" s="77"/>
    <row r="506" ht="15.75" customHeight="1" s="77"/>
    <row r="507" ht="15.75" customHeight="1" s="77"/>
    <row r="508" ht="15.75" customHeight="1" s="77"/>
    <row r="509" ht="15.75" customHeight="1" s="77"/>
    <row r="510" ht="15.75" customHeight="1" s="77"/>
    <row r="511" ht="15.75" customHeight="1" s="77"/>
    <row r="512" ht="15.75" customHeight="1" s="77"/>
    <row r="513" ht="15.75" customHeight="1" s="77"/>
    <row r="514" ht="15.75" customHeight="1" s="77"/>
    <row r="515" ht="15.75" customHeight="1" s="77"/>
    <row r="516" ht="15.75" customHeight="1" s="77"/>
    <row r="517" ht="15.75" customHeight="1" s="77"/>
    <row r="518" ht="15.75" customHeight="1" s="77"/>
    <row r="519" ht="15.75" customHeight="1" s="77"/>
    <row r="520" ht="15.75" customHeight="1" s="77"/>
    <row r="521" ht="15.75" customHeight="1" s="77"/>
    <row r="522" ht="15.75" customHeight="1" s="77"/>
    <row r="523" ht="15.75" customHeight="1" s="77"/>
    <row r="524" ht="15.75" customHeight="1" s="77"/>
    <row r="525" ht="15.75" customHeight="1" s="77"/>
    <row r="526" ht="15.75" customHeight="1" s="77"/>
    <row r="527" ht="15.75" customHeight="1" s="77"/>
    <row r="528" ht="15.75" customHeight="1" s="77"/>
    <row r="529" ht="15.75" customHeight="1" s="77"/>
    <row r="530" ht="15.75" customHeight="1" s="77"/>
    <row r="531" ht="15.75" customHeight="1" s="77"/>
    <row r="532" ht="15.75" customHeight="1" s="77"/>
    <row r="533" ht="15.75" customHeight="1" s="77"/>
    <row r="534" ht="15.75" customHeight="1" s="77"/>
    <row r="535" ht="15.75" customHeight="1" s="77"/>
    <row r="536" ht="15.75" customHeight="1" s="77"/>
    <row r="537" ht="15.75" customHeight="1" s="77"/>
    <row r="538" ht="15.75" customHeight="1" s="77"/>
    <row r="539" ht="15.75" customHeight="1" s="77"/>
    <row r="540" ht="15.75" customHeight="1" s="77"/>
    <row r="541" ht="15.75" customHeight="1" s="77"/>
    <row r="542" ht="15.75" customHeight="1" s="77"/>
    <row r="543" ht="15.75" customHeight="1" s="77"/>
    <row r="544" ht="15.75" customHeight="1" s="77"/>
    <row r="545" ht="15.75" customHeight="1" s="77"/>
    <row r="546" ht="15.75" customHeight="1" s="77"/>
    <row r="547" ht="15.75" customHeight="1" s="77"/>
    <row r="548" ht="15.75" customHeight="1" s="77"/>
    <row r="549" ht="15.75" customHeight="1" s="77"/>
    <row r="550" ht="15.75" customHeight="1" s="77"/>
    <row r="551" ht="15.75" customHeight="1" s="77"/>
    <row r="552" ht="15.75" customHeight="1" s="77"/>
    <row r="553" ht="15.75" customHeight="1" s="77"/>
    <row r="554" ht="15.75" customHeight="1" s="77"/>
    <row r="555" ht="15.75" customHeight="1" s="77"/>
    <row r="556" ht="15.75" customHeight="1" s="77"/>
    <row r="557" ht="15.75" customHeight="1" s="77"/>
    <row r="558" ht="15.75" customHeight="1" s="77"/>
    <row r="559" ht="15.75" customHeight="1" s="77"/>
    <row r="560" ht="15.75" customHeight="1" s="77"/>
    <row r="561" ht="15.75" customHeight="1" s="77"/>
    <row r="562" ht="15.75" customHeight="1" s="77"/>
    <row r="563" ht="15.75" customHeight="1" s="77"/>
    <row r="564" ht="15.75" customHeight="1" s="77"/>
    <row r="565" ht="15.75" customHeight="1" s="77"/>
    <row r="566" ht="15.75" customHeight="1" s="77"/>
    <row r="567" ht="15.75" customHeight="1" s="77"/>
    <row r="568" ht="15.75" customHeight="1" s="77"/>
    <row r="569" ht="15.75" customHeight="1" s="77"/>
    <row r="570" ht="15.75" customHeight="1" s="77"/>
    <row r="571" ht="15.75" customHeight="1" s="77"/>
    <row r="572" ht="15.75" customHeight="1" s="77"/>
    <row r="573" ht="15.75" customHeight="1" s="77"/>
    <row r="574" ht="15.75" customHeight="1" s="77"/>
    <row r="575" ht="15.75" customHeight="1" s="77"/>
    <row r="576" ht="15.75" customHeight="1" s="77"/>
    <row r="577" ht="15.75" customHeight="1" s="77"/>
    <row r="578" ht="15.75" customHeight="1" s="77"/>
    <row r="579" ht="15.75" customHeight="1" s="77"/>
    <row r="580" ht="15.75" customHeight="1" s="77"/>
    <row r="581" ht="15.75" customHeight="1" s="77"/>
    <row r="582" ht="15.75" customHeight="1" s="77"/>
    <row r="583" ht="15.75" customHeight="1" s="77"/>
    <row r="584" ht="15.75" customHeight="1" s="77"/>
    <row r="585" ht="15.75" customHeight="1" s="77"/>
    <row r="586" ht="15.75" customHeight="1" s="77"/>
    <row r="587" ht="15.75" customHeight="1" s="77"/>
    <row r="588" ht="15.75" customHeight="1" s="77"/>
    <row r="589" ht="15.75" customHeight="1" s="77"/>
    <row r="590" ht="15.75" customHeight="1" s="77"/>
    <row r="591" ht="15.75" customHeight="1" s="77"/>
    <row r="592" ht="15.75" customHeight="1" s="77"/>
    <row r="593" ht="15.75" customHeight="1" s="77"/>
    <row r="594" ht="15.75" customHeight="1" s="77"/>
    <row r="595" ht="15.75" customHeight="1" s="77"/>
    <row r="596" ht="15.75" customHeight="1" s="77"/>
    <row r="597" ht="15.75" customHeight="1" s="77"/>
    <row r="598" ht="15.75" customHeight="1" s="77"/>
    <row r="599" ht="15.75" customHeight="1" s="77"/>
    <row r="600" ht="15.75" customHeight="1" s="77"/>
    <row r="601" ht="15.75" customHeight="1" s="77"/>
    <row r="602" ht="15.75" customHeight="1" s="77"/>
    <row r="603" ht="15.75" customHeight="1" s="77"/>
    <row r="604" ht="15.75" customHeight="1" s="77"/>
    <row r="605" ht="15.75" customHeight="1" s="77"/>
    <row r="606" ht="15.75" customHeight="1" s="77"/>
    <row r="607" ht="15.75" customHeight="1" s="77"/>
    <row r="608" ht="15.75" customHeight="1" s="77"/>
    <row r="609" ht="15.75" customHeight="1" s="77"/>
    <row r="610" ht="15.75" customHeight="1" s="77"/>
    <row r="611" ht="15.75" customHeight="1" s="77"/>
    <row r="612" ht="15.75" customHeight="1" s="77"/>
    <row r="613" ht="15.75" customHeight="1" s="77"/>
    <row r="614" ht="15.75" customHeight="1" s="77"/>
    <row r="615" ht="15.75" customHeight="1" s="77"/>
    <row r="616" ht="15.75" customHeight="1" s="77"/>
    <row r="617" ht="15.75" customHeight="1" s="77"/>
    <row r="618" ht="15.75" customHeight="1" s="77"/>
    <row r="619" ht="15.75" customHeight="1" s="77"/>
    <row r="620" ht="15.75" customHeight="1" s="77"/>
    <row r="621" ht="15.75" customHeight="1" s="77"/>
    <row r="622" ht="15.75" customHeight="1" s="77"/>
    <row r="623" ht="15.75" customHeight="1" s="77"/>
    <row r="624" ht="15.75" customHeight="1" s="77"/>
    <row r="625" ht="15.75" customHeight="1" s="77"/>
    <row r="626" ht="15.75" customHeight="1" s="77"/>
    <row r="627" ht="15.75" customHeight="1" s="77"/>
    <row r="628" ht="15.75" customHeight="1" s="77"/>
    <row r="629" ht="15.75" customHeight="1" s="77"/>
    <row r="630" ht="15.75" customHeight="1" s="77"/>
    <row r="631" ht="15.75" customHeight="1" s="77"/>
    <row r="632" ht="15.75" customHeight="1" s="77"/>
    <row r="633" ht="15.75" customHeight="1" s="77"/>
    <row r="634" ht="15.75" customHeight="1" s="77"/>
    <row r="635" ht="15.75" customHeight="1" s="77"/>
    <row r="636" ht="15.75" customHeight="1" s="77"/>
    <row r="637" ht="15.75" customHeight="1" s="77"/>
    <row r="638" ht="15.75" customHeight="1" s="77"/>
    <row r="639" ht="15.75" customHeight="1" s="77"/>
    <row r="640" ht="15.75" customHeight="1" s="77"/>
    <row r="641" ht="15.75" customHeight="1" s="77"/>
    <row r="642" ht="15.75" customHeight="1" s="77"/>
    <row r="643" ht="15.75" customHeight="1" s="77"/>
    <row r="644" ht="15.75" customHeight="1" s="77"/>
    <row r="645" ht="15.75" customHeight="1" s="77"/>
    <row r="646" ht="15.75" customHeight="1" s="77"/>
    <row r="647" ht="15.75" customHeight="1" s="77"/>
    <row r="648" ht="15.75" customHeight="1" s="77"/>
    <row r="649" ht="15.75" customHeight="1" s="77"/>
    <row r="650" ht="15.75" customHeight="1" s="77"/>
    <row r="651" ht="15.75" customHeight="1" s="77"/>
    <row r="652" ht="15.75" customHeight="1" s="77"/>
    <row r="653" ht="15.75" customHeight="1" s="77"/>
    <row r="654" ht="15.75" customHeight="1" s="77"/>
    <row r="655" ht="15.75" customHeight="1" s="77"/>
    <row r="656" ht="15.75" customHeight="1" s="77"/>
    <row r="657" ht="15.75" customHeight="1" s="77"/>
    <row r="658" ht="15.75" customHeight="1" s="77"/>
    <row r="659" ht="15.75" customHeight="1" s="77"/>
    <row r="660" ht="15.75" customHeight="1" s="77"/>
    <row r="661" ht="15.75" customHeight="1" s="77"/>
    <row r="662" ht="15.75" customHeight="1" s="77"/>
    <row r="663" ht="15.75" customHeight="1" s="77"/>
    <row r="664" ht="15.75" customHeight="1" s="77"/>
    <row r="665" ht="15.75" customHeight="1" s="77"/>
    <row r="666" ht="15.75" customHeight="1" s="77"/>
    <row r="667" ht="15.75" customHeight="1" s="77"/>
    <row r="668" ht="15.75" customHeight="1" s="77"/>
    <row r="669" ht="15.75" customHeight="1" s="77"/>
    <row r="670" ht="15.75" customHeight="1" s="77"/>
    <row r="671" ht="15.75" customHeight="1" s="77"/>
    <row r="672" ht="15.75" customHeight="1" s="77"/>
    <row r="673" ht="15.75" customHeight="1" s="77"/>
    <row r="674" ht="15.75" customHeight="1" s="77"/>
    <row r="675" ht="15.75" customHeight="1" s="77"/>
    <row r="676" ht="15.75" customHeight="1" s="77"/>
    <row r="677" ht="15.75" customHeight="1" s="77"/>
    <row r="678" ht="15.75" customHeight="1" s="77"/>
    <row r="679" ht="15.75" customHeight="1" s="77"/>
    <row r="680" ht="15.75" customHeight="1" s="77"/>
    <row r="681" ht="15.75" customHeight="1" s="77"/>
    <row r="682" ht="15.75" customHeight="1" s="77"/>
    <row r="683" ht="15.75" customHeight="1" s="77"/>
    <row r="684" ht="15.75" customHeight="1" s="77"/>
    <row r="685" ht="15.75" customHeight="1" s="77"/>
    <row r="686" ht="15.75" customHeight="1" s="77"/>
    <row r="687" ht="15.75" customHeight="1" s="77"/>
    <row r="688" ht="15.75" customHeight="1" s="77"/>
    <row r="689" ht="15.75" customHeight="1" s="77"/>
    <row r="690" ht="15.75" customHeight="1" s="77"/>
    <row r="691" ht="15.75" customHeight="1" s="77"/>
    <row r="692" ht="15.75" customHeight="1" s="77"/>
    <row r="693" ht="15.75" customHeight="1" s="77"/>
    <row r="694" ht="15.75" customHeight="1" s="77"/>
    <row r="695" ht="15.75" customHeight="1" s="77"/>
    <row r="696" ht="15.75" customHeight="1" s="77"/>
    <row r="697" ht="15.75" customHeight="1" s="77"/>
    <row r="698" ht="15.75" customHeight="1" s="77"/>
    <row r="699" ht="15.75" customHeight="1" s="77"/>
    <row r="700" ht="15.75" customHeight="1" s="77"/>
    <row r="701" ht="15.75" customHeight="1" s="77"/>
    <row r="702" ht="15.75" customHeight="1" s="77"/>
    <row r="703" ht="15.75" customHeight="1" s="77"/>
    <row r="704" ht="15.75" customHeight="1" s="77"/>
    <row r="705" ht="15.75" customHeight="1" s="77"/>
    <row r="706" ht="15.75" customHeight="1" s="77"/>
    <row r="707" ht="15.75" customHeight="1" s="77"/>
    <row r="708" ht="15.75" customHeight="1" s="77"/>
    <row r="709" ht="15.75" customHeight="1" s="77"/>
    <row r="710" ht="15.75" customHeight="1" s="77"/>
    <row r="711" ht="15.75" customHeight="1" s="77"/>
    <row r="712" ht="15.75" customHeight="1" s="77"/>
    <row r="713" ht="15.75" customHeight="1" s="77"/>
    <row r="714" ht="15.75" customHeight="1" s="77"/>
    <row r="715" ht="15.75" customHeight="1" s="77"/>
    <row r="716" ht="15.75" customHeight="1" s="77"/>
    <row r="717" ht="15.75" customHeight="1" s="77"/>
    <row r="718" ht="15.75" customHeight="1" s="77"/>
    <row r="719" ht="15.75" customHeight="1" s="77"/>
    <row r="720" ht="15.75" customHeight="1" s="77"/>
    <row r="721" ht="15.75" customHeight="1" s="77"/>
    <row r="722" ht="15.75" customHeight="1" s="77"/>
    <row r="723" ht="15.75" customHeight="1" s="77"/>
    <row r="724" ht="15.75" customHeight="1" s="77"/>
    <row r="725" ht="15.75" customHeight="1" s="77"/>
    <row r="726" ht="15.75" customHeight="1" s="77"/>
    <row r="727" ht="15.75" customHeight="1" s="77"/>
    <row r="728" ht="15.75" customHeight="1" s="77"/>
    <row r="729" ht="15.75" customHeight="1" s="77"/>
    <row r="730" ht="15.75" customHeight="1" s="77"/>
    <row r="731" ht="15.75" customHeight="1" s="77"/>
    <row r="732" ht="15.75" customHeight="1" s="77"/>
    <row r="733" ht="15.75" customHeight="1" s="77"/>
    <row r="734" ht="15.75" customHeight="1" s="77"/>
    <row r="735" ht="15.75" customHeight="1" s="77"/>
    <row r="736" ht="15.75" customHeight="1" s="77"/>
    <row r="737" ht="15.75" customHeight="1" s="77"/>
    <row r="738" ht="15.75" customHeight="1" s="77"/>
    <row r="739" ht="15.75" customHeight="1" s="77"/>
    <row r="740" ht="15.75" customHeight="1" s="77"/>
    <row r="741" ht="15.75" customHeight="1" s="77"/>
    <row r="742" ht="15.75" customHeight="1" s="77"/>
    <row r="743" ht="15.75" customHeight="1" s="77"/>
    <row r="744" ht="15.75" customHeight="1" s="77"/>
    <row r="745" ht="15.75" customHeight="1" s="77"/>
    <row r="746" ht="15.75" customHeight="1" s="77"/>
    <row r="747" ht="15.75" customHeight="1" s="77"/>
    <row r="748" ht="15.75" customHeight="1" s="77"/>
    <row r="749" ht="15.75" customHeight="1" s="77"/>
    <row r="750" ht="15.75" customHeight="1" s="77"/>
    <row r="751" ht="15.75" customHeight="1" s="77"/>
    <row r="752" ht="15.75" customHeight="1" s="77"/>
    <row r="753" ht="15.75" customHeight="1" s="77"/>
    <row r="754" ht="15.75" customHeight="1" s="77"/>
    <row r="755" ht="15.75" customHeight="1" s="77"/>
    <row r="756" ht="15.75" customHeight="1" s="77"/>
    <row r="757" ht="15.75" customHeight="1" s="77"/>
    <row r="758" ht="15.75" customHeight="1" s="77"/>
    <row r="759" ht="15.75" customHeight="1" s="77"/>
    <row r="760" ht="15.75" customHeight="1" s="77"/>
    <row r="761" ht="15.75" customHeight="1" s="77"/>
    <row r="762" ht="15.75" customHeight="1" s="77"/>
    <row r="763" ht="15.75" customHeight="1" s="77"/>
    <row r="764" ht="15.75" customHeight="1" s="77"/>
    <row r="765" ht="15.75" customHeight="1" s="77"/>
    <row r="766" ht="15.75" customHeight="1" s="77"/>
    <row r="767" ht="15.75" customHeight="1" s="77"/>
    <row r="768" ht="15.75" customHeight="1" s="77"/>
    <row r="769" ht="15.75" customHeight="1" s="77"/>
    <row r="770" ht="15.75" customHeight="1" s="77"/>
    <row r="771" ht="15.75" customHeight="1" s="77"/>
    <row r="772" ht="15.75" customHeight="1" s="77"/>
    <row r="773" ht="15.75" customHeight="1" s="77"/>
    <row r="774" ht="15.75" customHeight="1" s="77"/>
    <row r="775" ht="15.75" customHeight="1" s="77"/>
    <row r="776" ht="15.75" customHeight="1" s="77"/>
    <row r="777" ht="15.75" customHeight="1" s="77"/>
    <row r="778" ht="15.75" customHeight="1" s="77"/>
    <row r="779" ht="15.75" customHeight="1" s="77"/>
    <row r="780" ht="15.75" customHeight="1" s="77"/>
    <row r="781" ht="15.75" customHeight="1" s="77"/>
    <row r="782" ht="15.75" customHeight="1" s="77"/>
    <row r="783" ht="15.75" customHeight="1" s="77"/>
    <row r="784" ht="15.75" customHeight="1" s="77"/>
    <row r="785" ht="15.75" customHeight="1" s="77"/>
    <row r="786" ht="15.75" customHeight="1" s="77"/>
    <row r="787" ht="15.75" customHeight="1" s="77"/>
    <row r="788" ht="15.75" customHeight="1" s="77"/>
    <row r="789" ht="15.75" customHeight="1" s="77"/>
    <row r="790" ht="15.75" customHeight="1" s="77"/>
    <row r="791" ht="15.75" customHeight="1" s="77"/>
    <row r="792" ht="15.75" customHeight="1" s="77"/>
    <row r="793" ht="15.75" customHeight="1" s="77"/>
    <row r="794" ht="15.75" customHeight="1" s="77"/>
    <row r="795" ht="15.75" customHeight="1" s="77"/>
    <row r="796" ht="15.75" customHeight="1" s="77"/>
    <row r="797" ht="15.75" customHeight="1" s="77"/>
    <row r="798" ht="15.75" customHeight="1" s="77"/>
    <row r="799" ht="15.75" customHeight="1" s="77"/>
    <row r="800" ht="15.75" customHeight="1" s="77"/>
    <row r="801" ht="15.75" customHeight="1" s="77"/>
    <row r="802" ht="15.75" customHeight="1" s="77"/>
    <row r="803" ht="15.75" customHeight="1" s="77"/>
    <row r="804" ht="15.75" customHeight="1" s="77"/>
    <row r="805" ht="15.75" customHeight="1" s="77"/>
    <row r="806" ht="15.75" customHeight="1" s="77"/>
    <row r="807" ht="15.75" customHeight="1" s="77"/>
    <row r="808" ht="15.75" customHeight="1" s="77"/>
    <row r="809" ht="15.75" customHeight="1" s="77"/>
    <row r="810" ht="15.75" customHeight="1" s="77"/>
    <row r="811" ht="15.75" customHeight="1" s="77"/>
    <row r="812" ht="15.75" customHeight="1" s="77"/>
    <row r="813" ht="15.75" customHeight="1" s="77"/>
    <row r="814" ht="15.75" customHeight="1" s="77"/>
    <row r="815" ht="15.75" customHeight="1" s="77"/>
    <row r="816" ht="15.75" customHeight="1" s="77"/>
    <row r="817" ht="15.75" customHeight="1" s="77"/>
    <row r="818" ht="15.75" customHeight="1" s="77"/>
    <row r="819" ht="15.75" customHeight="1" s="77"/>
    <row r="820" ht="15.75" customHeight="1" s="77"/>
    <row r="821" ht="15.75" customHeight="1" s="77"/>
    <row r="822" ht="15.75" customHeight="1" s="77"/>
    <row r="823" ht="15.75" customHeight="1" s="77"/>
    <row r="824" ht="15.75" customHeight="1" s="77"/>
    <row r="825" ht="15.75" customHeight="1" s="77"/>
    <row r="826" ht="15.75" customHeight="1" s="77"/>
    <row r="827" ht="15.75" customHeight="1" s="77"/>
    <row r="828" ht="15.75" customHeight="1" s="77"/>
    <row r="829" ht="15.75" customHeight="1" s="77"/>
    <row r="830" ht="15.75" customHeight="1" s="77"/>
    <row r="831" ht="15.75" customHeight="1" s="77"/>
    <row r="832" ht="15.75" customHeight="1" s="77"/>
    <row r="833" ht="15.75" customHeight="1" s="77"/>
    <row r="834" ht="15.75" customHeight="1" s="77"/>
    <row r="835" ht="15.75" customHeight="1" s="77"/>
    <row r="836" ht="15.75" customHeight="1" s="77"/>
    <row r="837" ht="15.75" customHeight="1" s="77"/>
    <row r="838" ht="15.75" customHeight="1" s="77"/>
    <row r="839" ht="15.75" customHeight="1" s="77"/>
    <row r="840" ht="15.75" customHeight="1" s="77"/>
    <row r="841" ht="15.75" customHeight="1" s="77"/>
    <row r="842" ht="15.75" customHeight="1" s="77"/>
    <row r="843" ht="15.75" customHeight="1" s="77"/>
    <row r="844" ht="15.75" customHeight="1" s="77"/>
    <row r="845" ht="15.75" customHeight="1" s="77"/>
    <row r="846" ht="15.75" customHeight="1" s="77"/>
    <row r="847" ht="15.75" customHeight="1" s="77"/>
    <row r="848" ht="15.75" customHeight="1" s="77"/>
    <row r="849" ht="15.75" customHeight="1" s="77"/>
    <row r="850" ht="15.75" customHeight="1" s="77"/>
    <row r="851" ht="15.75" customHeight="1" s="77"/>
    <row r="852" ht="15.75" customHeight="1" s="77"/>
    <row r="853" ht="15.75" customHeight="1" s="77"/>
    <row r="854" ht="15.75" customHeight="1" s="77"/>
    <row r="855" ht="15.75" customHeight="1" s="77"/>
    <row r="856" ht="15.75" customHeight="1" s="77"/>
    <row r="857" ht="15.75" customHeight="1" s="77"/>
    <row r="858" ht="15.75" customHeight="1" s="77"/>
    <row r="859" ht="15.75" customHeight="1" s="77"/>
    <row r="860" ht="15.75" customHeight="1" s="77"/>
    <row r="861" ht="15.75" customHeight="1" s="77"/>
    <row r="862" ht="15.75" customHeight="1" s="77"/>
    <row r="863" ht="15.75" customHeight="1" s="77"/>
    <row r="864" ht="15.75" customHeight="1" s="77"/>
    <row r="865" ht="15.75" customHeight="1" s="77"/>
    <row r="866" ht="15.75" customHeight="1" s="77"/>
    <row r="867" ht="15.75" customHeight="1" s="77"/>
    <row r="868" ht="15.75" customHeight="1" s="77"/>
    <row r="869" ht="15.75" customHeight="1" s="77"/>
    <row r="870" ht="15.75" customHeight="1" s="77"/>
    <row r="871" ht="15.75" customHeight="1" s="77"/>
    <row r="872" ht="15.75" customHeight="1" s="77"/>
    <row r="873" ht="15.75" customHeight="1" s="77"/>
    <row r="874" ht="15.75" customHeight="1" s="77"/>
    <row r="875" ht="15.75" customHeight="1" s="77"/>
    <row r="876" ht="15.75" customHeight="1" s="77"/>
    <row r="877" ht="15.75" customHeight="1" s="77"/>
    <row r="878" ht="15.75" customHeight="1" s="77"/>
    <row r="879" ht="15.75" customHeight="1" s="77"/>
    <row r="880" ht="15.75" customHeight="1" s="77"/>
    <row r="881" ht="15.75" customHeight="1" s="77"/>
    <row r="882" ht="15.75" customHeight="1" s="77"/>
    <row r="883" ht="15.75" customHeight="1" s="77"/>
    <row r="884" ht="15.75" customHeight="1" s="77"/>
    <row r="885" ht="15.75" customHeight="1" s="77"/>
    <row r="886" ht="15.75" customHeight="1" s="77"/>
    <row r="887" ht="15.75" customHeight="1" s="77"/>
    <row r="888" ht="15.75" customHeight="1" s="77"/>
    <row r="889" ht="15.75" customHeight="1" s="77"/>
    <row r="890" ht="15.75" customHeight="1" s="77"/>
    <row r="891" ht="15.75" customHeight="1" s="77"/>
    <row r="892" ht="15.75" customHeight="1" s="77"/>
    <row r="893" ht="15.75" customHeight="1" s="77"/>
    <row r="894" ht="15.75" customHeight="1" s="77"/>
    <row r="895" ht="15.75" customHeight="1" s="77"/>
    <row r="896" ht="15.75" customHeight="1" s="77"/>
    <row r="897" ht="15.75" customHeight="1" s="77"/>
    <row r="898" ht="15.75" customHeight="1" s="77"/>
    <row r="899" ht="15.75" customHeight="1" s="77"/>
    <row r="900" ht="15.75" customHeight="1" s="77"/>
    <row r="901" ht="15.75" customHeight="1" s="77"/>
    <row r="902" ht="15.75" customHeight="1" s="77"/>
    <row r="903" ht="15.75" customHeight="1" s="77"/>
    <row r="904" ht="15.75" customHeight="1" s="77"/>
    <row r="905" ht="15.75" customHeight="1" s="77"/>
    <row r="906" ht="15.75" customHeight="1" s="77"/>
    <row r="907" ht="15.75" customHeight="1" s="77"/>
    <row r="908" ht="15.75" customHeight="1" s="77"/>
    <row r="909" ht="15.75" customHeight="1" s="77"/>
    <row r="910" ht="15.75" customHeight="1" s="77"/>
    <row r="911" ht="15.75" customHeight="1" s="77"/>
    <row r="912" ht="15.75" customHeight="1" s="77"/>
    <row r="913" ht="15.75" customHeight="1" s="77"/>
    <row r="914" ht="15.75" customHeight="1" s="77"/>
    <row r="915" ht="15.75" customHeight="1" s="77"/>
    <row r="916" ht="15.75" customHeight="1" s="77"/>
    <row r="917" ht="15.75" customHeight="1" s="77"/>
    <row r="918" ht="15.75" customHeight="1" s="77"/>
    <row r="919" ht="15.75" customHeight="1" s="77"/>
    <row r="920" ht="15.75" customHeight="1" s="77"/>
    <row r="921" ht="15.75" customHeight="1" s="77"/>
    <row r="922" ht="15.75" customHeight="1" s="77"/>
    <row r="923" ht="15.75" customHeight="1" s="77"/>
    <row r="924" ht="15.75" customHeight="1" s="77"/>
    <row r="925" ht="15.75" customHeight="1" s="77"/>
    <row r="926" ht="15.75" customHeight="1" s="77"/>
    <row r="927" ht="15.75" customHeight="1" s="77"/>
    <row r="928" ht="15.75" customHeight="1" s="77"/>
    <row r="929" ht="15.75" customHeight="1" s="77"/>
    <row r="930" ht="15.75" customHeight="1" s="77"/>
    <row r="931" ht="15.75" customHeight="1" s="77"/>
    <row r="932" ht="15.75" customHeight="1" s="77"/>
    <row r="933" ht="15.75" customHeight="1" s="77"/>
    <row r="934" ht="15.75" customHeight="1" s="77"/>
    <row r="935" ht="15.75" customHeight="1" s="77"/>
    <row r="936" ht="15.75" customHeight="1" s="77"/>
    <row r="937" ht="15.75" customHeight="1" s="77"/>
    <row r="938" ht="15.75" customHeight="1" s="77"/>
    <row r="939" ht="15.75" customHeight="1" s="77"/>
    <row r="940" ht="15.75" customHeight="1" s="77"/>
    <row r="941" ht="15.75" customHeight="1" s="77"/>
    <row r="942" ht="15.75" customHeight="1" s="77"/>
    <row r="943" ht="15.75" customHeight="1" s="77"/>
    <row r="944" ht="15.75" customHeight="1" s="77"/>
    <row r="945" ht="15.75" customHeight="1" s="77"/>
    <row r="946" ht="15.75" customHeight="1" s="77"/>
    <row r="947" ht="15.75" customHeight="1" s="77"/>
    <row r="948" ht="15.75" customHeight="1" s="77"/>
    <row r="949" ht="15.75" customHeight="1" s="77"/>
    <row r="950" ht="15.75" customHeight="1" s="77"/>
    <row r="951" ht="15.75" customHeight="1" s="77"/>
    <row r="952" ht="15.75" customHeight="1" s="77"/>
    <row r="953" ht="15.75" customHeight="1" s="77"/>
    <row r="954" ht="15.75" customHeight="1" s="77"/>
    <row r="955" ht="15.75" customHeight="1" s="77"/>
    <row r="956" ht="15.75" customHeight="1" s="77"/>
    <row r="957" ht="15.75" customHeight="1" s="77"/>
    <row r="958" ht="15.75" customHeight="1" s="77"/>
    <row r="959" ht="15.75" customHeight="1" s="77"/>
    <row r="960" ht="15.75" customHeight="1" s="77"/>
    <row r="961" ht="15.75" customHeight="1" s="77"/>
    <row r="962" ht="15.75" customHeight="1" s="77"/>
    <row r="963" ht="15.75" customHeight="1" s="77"/>
    <row r="964" ht="15.75" customHeight="1" s="77"/>
    <row r="965" ht="15.75" customHeight="1" s="77"/>
    <row r="966" ht="15.75" customHeight="1" s="77"/>
    <row r="967" ht="15.75" customHeight="1" s="77"/>
    <row r="968" ht="15.75" customHeight="1" s="77"/>
    <row r="969" ht="15.75" customHeight="1" s="77"/>
    <row r="970" ht="15.75" customHeight="1" s="77"/>
    <row r="971" ht="15.75" customHeight="1" s="77"/>
    <row r="972" ht="15.75" customHeight="1" s="77"/>
    <row r="973" ht="15.75" customHeight="1" s="77"/>
    <row r="974" ht="15.75" customHeight="1" s="77"/>
    <row r="975" ht="15.75" customHeight="1" s="77"/>
    <row r="976" ht="15.75" customHeight="1" s="77"/>
    <row r="977" ht="15.75" customHeight="1" s="77"/>
    <row r="978" ht="15.75" customHeight="1" s="77"/>
    <row r="979" ht="15.75" customHeight="1" s="77"/>
    <row r="980" ht="15.75" customHeight="1" s="77"/>
    <row r="981" ht="15.75" customHeight="1" s="77"/>
    <row r="982" ht="15.75" customHeight="1" s="77"/>
    <row r="983" ht="15.75" customHeight="1" s="77"/>
    <row r="984" ht="15.75" customHeight="1" s="77"/>
    <row r="985" ht="15.75" customHeight="1" s="77"/>
    <row r="986" ht="15.75" customHeight="1" s="77"/>
    <row r="987" ht="15.75" customHeight="1" s="77"/>
    <row r="988" ht="15.75" customHeight="1" s="77"/>
    <row r="989" ht="15.75" customHeight="1" s="77"/>
    <row r="990" ht="15.75" customHeight="1" s="77"/>
    <row r="991" ht="15.75" customHeight="1" s="77"/>
    <row r="992" ht="15.75" customHeight="1" s="77"/>
    <row r="993" ht="15.75" customHeight="1" s="77"/>
    <row r="994" ht="15.75" customHeight="1" s="77"/>
    <row r="995" ht="15.75" customHeight="1" s="77"/>
    <row r="996" ht="15.75" customHeight="1" s="77"/>
    <row r="997" ht="15.75" customHeight="1" s="77"/>
    <row r="998" ht="15.75" customHeight="1" s="77"/>
    <row r="999" ht="15.75" customHeight="1" s="77"/>
    <row r="1000" ht="15.75" customHeight="1" s="77"/>
  </sheetData>
  <mergeCells count="3">
    <mergeCell ref="A3:G3"/>
    <mergeCell ref="A1:G1"/>
    <mergeCell ref="A12:G12"/>
  </mergeCells>
  <dataValidations count="1">
    <dataValidation sqref="C13:C27" showDropDown="0" showInputMessage="0" showErrorMessage="0" allowBlank="1" type="list">
      <formula1>"Produit,Service"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50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77" min="1" max="1"/>
    <col width="10" customWidth="1" style="77" min="2" max="66"/>
  </cols>
  <sheetData>
    <row r="1" ht="30" customHeight="1" s="77">
      <c r="A1" s="78" t="inlineStr">
        <is>
          <t>4️⃣ RESSOURCES HUMAINES</t>
        </is>
      </c>
    </row>
    <row r="3">
      <c r="A3" s="80" t="inlineStr">
        <is>
          <t>💡 Listez tous les postes actuels et prévus. Incluez charges sociales (environ 25% en Côte d'Ivoire).</t>
        </is>
      </c>
    </row>
    <row r="5">
      <c r="A5" s="28" t="inlineStr">
        <is>
          <t>#</t>
        </is>
      </c>
      <c r="B5" s="28" t="inlineStr">
        <is>
          <t>Poste</t>
        </is>
      </c>
      <c r="C5" s="28" t="inlineStr">
        <is>
          <t>Nombre</t>
        </is>
      </c>
      <c r="D5" s="36" t="n"/>
      <c r="E5" s="36" t="n"/>
      <c r="F5" s="36" t="n"/>
      <c r="G5" s="36" t="n"/>
    </row>
    <row r="6">
      <c r="A6" s="16" t="n">
        <v>1</v>
      </c>
      <c r="B6" s="16" t="inlineStr">
        <is>
          <t>Gérant</t>
        </is>
      </c>
      <c r="C6" s="16" t="n">
        <v>1</v>
      </c>
      <c r="D6" s="32" t="n"/>
      <c r="E6" s="37" t="n"/>
      <c r="F6" s="32" t="n"/>
      <c r="G6" s="32" t="n"/>
    </row>
    <row r="7">
      <c r="A7" s="16" t="n">
        <v>2</v>
      </c>
      <c r="B7" s="16" t="inlineStr">
        <is>
          <t>Responsable Production</t>
        </is>
      </c>
      <c r="C7" s="16" t="n">
        <v>1</v>
      </c>
      <c r="D7" s="32" t="n"/>
      <c r="E7" s="37" t="n"/>
      <c r="F7" s="32" t="n"/>
      <c r="G7" s="32" t="n"/>
    </row>
    <row r="8">
      <c r="A8" s="16" t="n">
        <v>3</v>
      </c>
      <c r="B8" s="16" t="inlineStr">
        <is>
          <t>Technicien Agricole</t>
        </is>
      </c>
      <c r="C8" s="16" t="n">
        <v>2</v>
      </c>
      <c r="D8" s="32" t="n"/>
      <c r="E8" s="37" t="n"/>
      <c r="F8" s="32" t="n"/>
      <c r="G8" s="32" t="n"/>
    </row>
    <row r="9">
      <c r="A9" s="16" t="n">
        <v>4</v>
      </c>
      <c r="B9" s="16" t="inlineStr">
        <is>
          <t>Ouvriers Agricoles</t>
        </is>
      </c>
      <c r="C9" s="16" t="n">
        <v>5</v>
      </c>
      <c r="D9" s="32" t="n"/>
      <c r="E9" s="37" t="n"/>
      <c r="F9" s="32" t="n"/>
      <c r="G9" s="32" t="n"/>
    </row>
    <row r="10">
      <c r="A10" s="16" t="n">
        <v>5</v>
      </c>
      <c r="B10" s="16" t="inlineStr">
        <is>
          <t>Commercial</t>
        </is>
      </c>
      <c r="C10" s="16" t="n">
        <v>1</v>
      </c>
      <c r="D10" s="32" t="n"/>
      <c r="E10" s="37" t="n"/>
      <c r="F10" s="32" t="n"/>
      <c r="G10" s="32" t="n"/>
    </row>
    <row r="11">
      <c r="D11" s="10" t="n"/>
      <c r="E11" s="10" t="n"/>
    </row>
    <row r="12">
      <c r="A12" s="81" t="inlineStr">
        <is>
          <t>👇 VOTRE ÉQUIPE</t>
        </is>
      </c>
    </row>
    <row r="13">
      <c r="A13" s="35" t="n">
        <v>1</v>
      </c>
      <c r="B13" s="15" t="inlineStr">
        <is>
          <t>Directeur Général</t>
        </is>
      </c>
      <c r="C13" s="38" t="n">
        <v>1</v>
      </c>
      <c r="D13" s="39" t="n">
        <v>850000</v>
      </c>
      <c r="E13" s="40" t="n">
        <v>141000</v>
      </c>
      <c r="F13" s="39" t="n"/>
      <c r="G13" s="39" t="n"/>
    </row>
    <row r="14">
      <c r="A14" s="35" t="n">
        <v>2</v>
      </c>
      <c r="B14" s="15" t="inlineStr">
        <is>
          <t>Directeur Commercial</t>
        </is>
      </c>
      <c r="C14" s="38" t="n">
        <v>1</v>
      </c>
      <c r="D14" s="39" t="n">
        <v>600000</v>
      </c>
      <c r="E14" s="40" t="n">
        <v>99000</v>
      </c>
      <c r="F14" s="39" t="n"/>
      <c r="G14" s="39" t="n"/>
    </row>
    <row r="15">
      <c r="A15" s="35" t="n">
        <v>3</v>
      </c>
      <c r="B15" s="15" t="inlineStr">
        <is>
          <t>Responsable Production</t>
        </is>
      </c>
      <c r="C15" s="38" t="n">
        <v>1</v>
      </c>
      <c r="D15" s="39" t="n">
        <v>500000</v>
      </c>
      <c r="E15" s="40" t="n">
        <v>83000</v>
      </c>
      <c r="F15" s="39" t="n"/>
      <c r="G15" s="39" t="n"/>
    </row>
    <row r="16">
      <c r="A16" s="35" t="n">
        <v>4</v>
      </c>
      <c r="B16" s="15" t="inlineStr">
        <is>
          <t>Ingénieur Process</t>
        </is>
      </c>
      <c r="C16" s="38" t="n">
        <v>2</v>
      </c>
      <c r="D16" s="39" t="n">
        <v>400000</v>
      </c>
      <c r="E16" s="40" t="n">
        <v>66000</v>
      </c>
      <c r="F16" s="39" t="n"/>
      <c r="G16" s="39" t="n"/>
    </row>
    <row r="17">
      <c r="A17" s="35" t="n">
        <v>5</v>
      </c>
      <c r="B17" s="15" t="inlineStr">
        <is>
          <t>Technicien Moulage</t>
        </is>
      </c>
      <c r="C17" s="38" t="n">
        <v>4</v>
      </c>
      <c r="D17" s="39" t="n">
        <v>250000</v>
      </c>
      <c r="E17" s="40" t="n">
        <v>41000</v>
      </c>
      <c r="F17" s="39" t="n"/>
      <c r="G17" s="39" t="n"/>
    </row>
    <row r="18">
      <c r="A18" s="35" t="n">
        <v>6</v>
      </c>
      <c r="B18" s="15" t="inlineStr">
        <is>
          <t>Technicien Tri/Lavage</t>
        </is>
      </c>
      <c r="C18" s="38" t="n">
        <v>3</v>
      </c>
      <c r="D18" s="39" t="n">
        <v>200000</v>
      </c>
      <c r="E18" s="40" t="n">
        <v>33000</v>
      </c>
      <c r="F18" s="39" t="n"/>
      <c r="G18" s="39" t="n"/>
    </row>
    <row r="19">
      <c r="A19" s="35" t="n">
        <v>7</v>
      </c>
      <c r="B19" s="15" t="inlineStr">
        <is>
          <t>Ouvriers Production</t>
        </is>
      </c>
      <c r="C19" s="38" t="n">
        <v>8</v>
      </c>
      <c r="D19" s="39" t="n">
        <v>150000</v>
      </c>
      <c r="E19" s="40" t="n">
        <v>25000</v>
      </c>
      <c r="F19" s="39" t="n"/>
      <c r="G19" s="39" t="n"/>
    </row>
    <row r="20">
      <c r="A20" s="35" t="n">
        <v>8</v>
      </c>
      <c r="B20" s="15" t="inlineStr">
        <is>
          <t>Chauffeurs/Livreurs</t>
        </is>
      </c>
      <c r="C20" s="38" t="n">
        <v>5</v>
      </c>
      <c r="D20" s="39" t="n">
        <v>175000</v>
      </c>
      <c r="E20" s="40" t="n">
        <v>29000</v>
      </c>
      <c r="F20" s="39" t="n"/>
      <c r="G20" s="39" t="n"/>
    </row>
    <row r="21" ht="15.75" customHeight="1" s="77">
      <c r="A21" s="35" t="n">
        <v>9</v>
      </c>
      <c r="B21" s="15" t="inlineStr">
        <is>
          <t>Commercial B2B</t>
        </is>
      </c>
      <c r="C21" s="38" t="n">
        <v>2</v>
      </c>
      <c r="D21" s="39" t="n">
        <v>350000</v>
      </c>
      <c r="E21" s="40" t="n">
        <v>58000</v>
      </c>
      <c r="F21" s="39" t="n"/>
      <c r="G21" s="39" t="n"/>
    </row>
    <row r="22" ht="15.75" customHeight="1" s="77">
      <c r="A22" s="35" t="n">
        <v>10</v>
      </c>
      <c r="B22" s="15" t="inlineStr">
        <is>
          <t>Comptable</t>
        </is>
      </c>
      <c r="C22" s="38" t="n">
        <v>1</v>
      </c>
      <c r="D22" s="39" t="n">
        <v>300000</v>
      </c>
      <c r="E22" s="40" t="n">
        <v>50000</v>
      </c>
      <c r="F22" s="39" t="n"/>
      <c r="G22" s="39" t="n"/>
    </row>
    <row r="23" ht="15.75" customHeight="1" s="77">
      <c r="A23" s="35" t="n">
        <v>11</v>
      </c>
      <c r="B23" s="15" t="inlineStr">
        <is>
          <t>Agent administratif</t>
        </is>
      </c>
      <c r="C23" s="38" t="n">
        <v>2</v>
      </c>
      <c r="D23" s="39" t="n">
        <v>180000</v>
      </c>
      <c r="E23" s="40" t="n">
        <v>30000</v>
      </c>
      <c r="F23" s="39" t="n"/>
      <c r="G23" s="39" t="n"/>
    </row>
    <row r="24" ht="15.75" customHeight="1" s="77">
      <c r="A24" s="35" t="n">
        <v>12</v>
      </c>
      <c r="B24" s="15" t="inlineStr">
        <is>
          <t>Responsable Impact</t>
        </is>
      </c>
      <c r="C24" s="38" t="n">
        <v>1</v>
      </c>
      <c r="D24" s="39" t="n">
        <v>400000</v>
      </c>
      <c r="E24" s="40" t="n">
        <v>66000</v>
      </c>
      <c r="F24" s="39" t="n"/>
      <c r="G24" s="39" t="n"/>
    </row>
    <row r="25" ht="15.75" customHeight="1" s="77">
      <c r="A25" s="35" t="n">
        <v>13</v>
      </c>
      <c r="B25" s="15" t="inlineStr">
        <is>
          <t>Agent collecte terrain</t>
        </is>
      </c>
      <c r="C25" s="38" t="n">
        <v>3</v>
      </c>
      <c r="D25" s="39" t="n">
        <v>200000</v>
      </c>
      <c r="E25" s="40" t="n">
        <v>33000</v>
      </c>
      <c r="F25" s="39" t="n"/>
      <c r="G25" s="39" t="n"/>
    </row>
    <row r="26" ht="15.75" customHeight="1" s="77">
      <c r="A26" s="35" t="n">
        <v>14</v>
      </c>
      <c r="B26" s="15" t="inlineStr">
        <is>
          <t>Stagiaires</t>
        </is>
      </c>
      <c r="C26" s="38" t="n">
        <v>2</v>
      </c>
      <c r="D26" s="39" t="n">
        <v>75000</v>
      </c>
      <c r="E26" s="40" t="n">
        <v>12000</v>
      </c>
      <c r="F26" s="39" t="n"/>
      <c r="G26" s="39" t="n"/>
    </row>
    <row r="27" ht="15.75" customHeight="1" s="77">
      <c r="A27" s="35" t="n">
        <v>15</v>
      </c>
      <c r="B27" s="15" t="n"/>
      <c r="C27" s="38" t="n"/>
      <c r="D27" s="39" t="n"/>
      <c r="E27" s="40" t="n"/>
      <c r="F27" s="39" t="n"/>
      <c r="G27" s="39" t="n"/>
    </row>
    <row r="28" ht="15.75" customHeight="1" s="77">
      <c r="A28" s="35" t="n">
        <v>16</v>
      </c>
      <c r="B28" s="15" t="n"/>
      <c r="C28" s="38" t="n"/>
      <c r="D28" s="39" t="n"/>
      <c r="E28" s="40" t="n"/>
      <c r="F28" s="39" t="n"/>
      <c r="G28" s="39" t="n"/>
    </row>
    <row r="29" ht="15.75" customHeight="1" s="77">
      <c r="A29" s="35" t="n">
        <v>17</v>
      </c>
      <c r="B29" s="15" t="n"/>
      <c r="C29" s="38" t="n"/>
      <c r="D29" s="39" t="n"/>
      <c r="E29" s="40" t="n"/>
      <c r="F29" s="39" t="n"/>
      <c r="G29" s="39" t="n"/>
    </row>
    <row r="30" ht="15.75" customHeight="1" s="77">
      <c r="A30" s="35" t="n">
        <v>18</v>
      </c>
      <c r="B30" s="15" t="n"/>
      <c r="C30" s="38" t="n"/>
      <c r="D30" s="39" t="n"/>
      <c r="E30" s="40" t="n"/>
      <c r="F30" s="39" t="n"/>
      <c r="G30" s="39" t="n"/>
    </row>
    <row r="31" ht="15.75" customHeight="1" s="77">
      <c r="A31" s="35" t="n">
        <v>19</v>
      </c>
      <c r="B31" s="15" t="n"/>
      <c r="C31" s="38" t="n"/>
      <c r="D31" s="39" t="n"/>
      <c r="E31" s="40" t="n"/>
      <c r="F31" s="39" t="n"/>
      <c r="G31" s="39" t="n"/>
    </row>
    <row r="32" ht="15.75" customHeight="1" s="77">
      <c r="A32" s="35" t="n">
        <v>20</v>
      </c>
      <c r="B32" s="15" t="n"/>
      <c r="C32" s="38" t="n"/>
      <c r="D32" s="39" t="n"/>
      <c r="E32" s="40" t="n"/>
      <c r="F32" s="39" t="n"/>
      <c r="G32" s="39" t="n"/>
    </row>
    <row r="33" ht="15.75" customHeight="1" s="77"/>
    <row r="34" ht="15.75" customHeight="1" s="77">
      <c r="A34" s="41" t="n"/>
      <c r="F34" s="42" t="n"/>
      <c r="G34" s="42" t="n"/>
    </row>
    <row r="35" ht="15.75" customHeight="1" s="77"/>
    <row r="36" ht="15.75" customHeight="1" s="77"/>
    <row r="37" ht="15.75" customHeight="1" s="77">
      <c r="A37" s="82" t="inlineStr">
        <is>
          <t>💰 MASSE SALARIALE - SAISIE MENSUELLE 60 MOIS</t>
        </is>
      </c>
    </row>
    <row r="38" ht="15.75" customHeight="1" s="77">
      <c r="A38" s="44" t="inlineStr">
        <is>
          <t>Saisie mensuelle sur 5 ans (60 mois) pour capturer les variations saisonnières et évolutions progressives</t>
        </is>
      </c>
    </row>
    <row r="39" ht="15.75" customHeight="1" s="77"/>
    <row r="40" ht="15.75" customHeight="1" s="77">
      <c r="B40" s="83" t="inlineStr">
        <is>
          <t>ANNÉE 1</t>
        </is>
      </c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5" t="n"/>
      <c r="O40" s="83" t="inlineStr">
        <is>
          <t>ANNÉE 2</t>
        </is>
      </c>
      <c r="P40" s="84" t="n"/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5" t="n"/>
      <c r="AB40" s="83" t="inlineStr">
        <is>
          <t>ANNÉE 3</t>
        </is>
      </c>
      <c r="AC40" s="84" t="n"/>
      <c r="AD40" s="84" t="n"/>
      <c r="AE40" s="84" t="n"/>
      <c r="AF40" s="84" t="n"/>
      <c r="AG40" s="84" t="n"/>
      <c r="AH40" s="84" t="n"/>
      <c r="AI40" s="84" t="n"/>
      <c r="AJ40" s="84" t="n"/>
      <c r="AK40" s="84" t="n"/>
      <c r="AL40" s="84" t="n"/>
      <c r="AM40" s="84" t="n"/>
      <c r="AN40" s="85" t="n"/>
      <c r="AO40" s="83" t="inlineStr">
        <is>
          <t>ANNÉE 4</t>
        </is>
      </c>
      <c r="AP40" s="84" t="n"/>
      <c r="AQ40" s="84" t="n"/>
      <c r="AR40" s="84" t="n"/>
      <c r="AS40" s="84" t="n"/>
      <c r="AT40" s="84" t="n"/>
      <c r="AU40" s="84" t="n"/>
      <c r="AV40" s="84" t="n"/>
      <c r="AW40" s="84" t="n"/>
      <c r="AX40" s="84" t="n"/>
      <c r="AY40" s="84" t="n"/>
      <c r="AZ40" s="84" t="n"/>
      <c r="BA40" s="85" t="n"/>
      <c r="BB40" s="83" t="inlineStr">
        <is>
          <t>ANNÉE 5</t>
        </is>
      </c>
      <c r="BC40" s="84" t="n"/>
      <c r="BD40" s="84" t="n"/>
      <c r="BE40" s="84" t="n"/>
      <c r="BF40" s="84" t="n"/>
      <c r="BG40" s="84" t="n"/>
      <c r="BH40" s="84" t="n"/>
      <c r="BI40" s="84" t="n"/>
      <c r="BJ40" s="84" t="n"/>
      <c r="BK40" s="84" t="n"/>
      <c r="BL40" s="84" t="n"/>
      <c r="BM40" s="84" t="n"/>
      <c r="BN40" s="85" t="n"/>
    </row>
    <row r="41" ht="15.75" customHeight="1" s="77">
      <c r="A41" s="48" t="inlineStr">
        <is>
          <t>Poste</t>
        </is>
      </c>
      <c r="B41" s="49" t="inlineStr">
        <is>
          <t>Jan</t>
        </is>
      </c>
      <c r="C41" s="49" t="inlineStr">
        <is>
          <t>Fév</t>
        </is>
      </c>
      <c r="D41" s="49" t="inlineStr">
        <is>
          <t>Mar</t>
        </is>
      </c>
      <c r="E41" s="49" t="inlineStr">
        <is>
          <t>Avr</t>
        </is>
      </c>
      <c r="F41" s="49" t="inlineStr">
        <is>
          <t>Mai</t>
        </is>
      </c>
      <c r="G41" s="49" t="inlineStr">
        <is>
          <t>Jun</t>
        </is>
      </c>
      <c r="H41" s="49" t="inlineStr">
        <is>
          <t>Jul</t>
        </is>
      </c>
      <c r="I41" s="49" t="inlineStr">
        <is>
          <t>Aoû</t>
        </is>
      </c>
      <c r="J41" s="49" t="inlineStr">
        <is>
          <t>Sep</t>
        </is>
      </c>
      <c r="K41" s="49" t="inlineStr">
        <is>
          <t>Oct</t>
        </is>
      </c>
      <c r="L41" s="49" t="inlineStr">
        <is>
          <t>Nov</t>
        </is>
      </c>
      <c r="M41" s="49" t="inlineStr">
        <is>
          <t>Déc</t>
        </is>
      </c>
      <c r="N41" s="50" t="inlineStr">
        <is>
          <t>Total An</t>
        </is>
      </c>
      <c r="O41" s="49" t="inlineStr">
        <is>
          <t>Jan</t>
        </is>
      </c>
      <c r="P41" s="49" t="inlineStr">
        <is>
          <t>Fév</t>
        </is>
      </c>
      <c r="Q41" s="49" t="inlineStr">
        <is>
          <t>Mar</t>
        </is>
      </c>
      <c r="R41" s="49" t="inlineStr">
        <is>
          <t>Avr</t>
        </is>
      </c>
      <c r="S41" s="49" t="inlineStr">
        <is>
          <t>Mai</t>
        </is>
      </c>
      <c r="T41" s="49" t="inlineStr">
        <is>
          <t>Jun</t>
        </is>
      </c>
      <c r="U41" s="49" t="inlineStr">
        <is>
          <t>Jul</t>
        </is>
      </c>
      <c r="V41" s="49" t="inlineStr">
        <is>
          <t>Aoû</t>
        </is>
      </c>
      <c r="W41" s="49" t="inlineStr">
        <is>
          <t>Sep</t>
        </is>
      </c>
      <c r="X41" s="49" t="inlineStr">
        <is>
          <t>Oct</t>
        </is>
      </c>
      <c r="Y41" s="49" t="inlineStr">
        <is>
          <t>Nov</t>
        </is>
      </c>
      <c r="Z41" s="49" t="inlineStr">
        <is>
          <t>Déc</t>
        </is>
      </c>
      <c r="AA41" s="50" t="inlineStr">
        <is>
          <t>Total An</t>
        </is>
      </c>
      <c r="AB41" s="49" t="inlineStr">
        <is>
          <t>Jan</t>
        </is>
      </c>
      <c r="AC41" s="49" t="inlineStr">
        <is>
          <t>Fév</t>
        </is>
      </c>
      <c r="AD41" s="49" t="inlineStr">
        <is>
          <t>Mar</t>
        </is>
      </c>
      <c r="AE41" s="49" t="inlineStr">
        <is>
          <t>Avr</t>
        </is>
      </c>
      <c r="AF41" s="49" t="inlineStr">
        <is>
          <t>Mai</t>
        </is>
      </c>
      <c r="AG41" s="49" t="inlineStr">
        <is>
          <t>Jun</t>
        </is>
      </c>
      <c r="AH41" s="49" t="inlineStr">
        <is>
          <t>Jul</t>
        </is>
      </c>
      <c r="AI41" s="49" t="inlineStr">
        <is>
          <t>Aoû</t>
        </is>
      </c>
      <c r="AJ41" s="49" t="inlineStr">
        <is>
          <t>Sep</t>
        </is>
      </c>
      <c r="AK41" s="49" t="inlineStr">
        <is>
          <t>Oct</t>
        </is>
      </c>
      <c r="AL41" s="49" t="inlineStr">
        <is>
          <t>Nov</t>
        </is>
      </c>
      <c r="AM41" s="49" t="inlineStr">
        <is>
          <t>Déc</t>
        </is>
      </c>
      <c r="AN41" s="50" t="inlineStr">
        <is>
          <t>Total An</t>
        </is>
      </c>
      <c r="AO41" s="49" t="inlineStr">
        <is>
          <t>Jan</t>
        </is>
      </c>
      <c r="AP41" s="49" t="inlineStr">
        <is>
          <t>Fév</t>
        </is>
      </c>
      <c r="AQ41" s="49" t="inlineStr">
        <is>
          <t>Mar</t>
        </is>
      </c>
      <c r="AR41" s="49" t="inlineStr">
        <is>
          <t>Avr</t>
        </is>
      </c>
      <c r="AS41" s="49" t="inlineStr">
        <is>
          <t>Mai</t>
        </is>
      </c>
      <c r="AT41" s="49" t="inlineStr">
        <is>
          <t>Jun</t>
        </is>
      </c>
      <c r="AU41" s="49" t="inlineStr">
        <is>
          <t>Jul</t>
        </is>
      </c>
      <c r="AV41" s="49" t="inlineStr">
        <is>
          <t>Aoû</t>
        </is>
      </c>
      <c r="AW41" s="49" t="inlineStr">
        <is>
          <t>Sep</t>
        </is>
      </c>
      <c r="AX41" s="49" t="inlineStr">
        <is>
          <t>Oct</t>
        </is>
      </c>
      <c r="AY41" s="49" t="inlineStr">
        <is>
          <t>Nov</t>
        </is>
      </c>
      <c r="AZ41" s="49" t="inlineStr">
        <is>
          <t>Déc</t>
        </is>
      </c>
      <c r="BA41" s="50" t="inlineStr">
        <is>
          <t>Total An</t>
        </is>
      </c>
      <c r="BB41" s="49" t="inlineStr">
        <is>
          <t>Jan</t>
        </is>
      </c>
      <c r="BC41" s="49" t="inlineStr">
        <is>
          <t>Fév</t>
        </is>
      </c>
      <c r="BD41" s="49" t="inlineStr">
        <is>
          <t>Mar</t>
        </is>
      </c>
      <c r="BE41" s="49" t="inlineStr">
        <is>
          <t>Avr</t>
        </is>
      </c>
      <c r="BF41" s="49" t="inlineStr">
        <is>
          <t>Mai</t>
        </is>
      </c>
      <c r="BG41" s="49" t="inlineStr">
        <is>
          <t>Jun</t>
        </is>
      </c>
      <c r="BH41" s="49" t="inlineStr">
        <is>
          <t>Jul</t>
        </is>
      </c>
      <c r="BI41" s="49" t="inlineStr">
        <is>
          <t>Aoû</t>
        </is>
      </c>
      <c r="BJ41" s="49" t="inlineStr">
        <is>
          <t>Sep</t>
        </is>
      </c>
      <c r="BK41" s="49" t="inlineStr">
        <is>
          <t>Oct</t>
        </is>
      </c>
      <c r="BL41" s="49" t="inlineStr">
        <is>
          <t>Nov</t>
        </is>
      </c>
      <c r="BM41" s="49" t="inlineStr">
        <is>
          <t>Déc</t>
        </is>
      </c>
      <c r="BN41" s="50" t="inlineStr">
        <is>
          <t>Total An</t>
        </is>
      </c>
    </row>
    <row r="42" ht="15.75" customHeight="1" s="77">
      <c r="A42" s="51" t="inlineStr">
        <is>
          <t>Salaires Bruts Permanents</t>
        </is>
      </c>
      <c r="B42" s="52" t="n"/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52" t="n"/>
      <c r="M42" s="52" t="n"/>
      <c r="N42" s="53">
        <f>SUM(B42:M42)</f>
        <v/>
      </c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3">
        <f>SUM(O42:Z42)</f>
        <v/>
      </c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  <c r="AL42" s="52" t="n"/>
      <c r="AM42" s="52" t="n"/>
      <c r="AN42" s="53">
        <f>SUM(AB42:AM42)</f>
        <v/>
      </c>
      <c r="AO42" s="52" t="n"/>
      <c r="AP42" s="52" t="n"/>
      <c r="AQ42" s="52" t="n"/>
      <c r="AR42" s="52" t="n"/>
      <c r="AS42" s="52" t="n"/>
      <c r="AT42" s="52" t="n"/>
      <c r="AU42" s="52" t="n"/>
      <c r="AV42" s="52" t="n"/>
      <c r="AW42" s="52" t="n"/>
      <c r="AX42" s="52" t="n"/>
      <c r="AY42" s="52" t="n"/>
      <c r="AZ42" s="52" t="n"/>
      <c r="BA42" s="53">
        <f>SUM(AO42:AZ42)</f>
        <v/>
      </c>
      <c r="BB42" s="52" t="n"/>
      <c r="BC42" s="52" t="n"/>
      <c r="BD42" s="52" t="n"/>
      <c r="BE42" s="52" t="n"/>
      <c r="BF42" s="52" t="n"/>
      <c r="BG42" s="52" t="n"/>
      <c r="BH42" s="52" t="n"/>
      <c r="BI42" s="52" t="n"/>
      <c r="BJ42" s="52" t="n"/>
      <c r="BK42" s="52" t="n"/>
      <c r="BL42" s="52" t="n"/>
      <c r="BM42" s="52" t="n"/>
      <c r="BN42" s="53">
        <f>SUM(BB42:BM42)</f>
        <v/>
      </c>
    </row>
    <row r="43" ht="15.75" customHeight="1" s="77">
      <c r="A43" s="51" t="inlineStr">
        <is>
          <t>Charges Sociales</t>
        </is>
      </c>
      <c r="B43" s="52" t="n"/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52" t="n"/>
      <c r="M43" s="52" t="n"/>
      <c r="N43" s="53">
        <f>SUM(B43:M43)</f>
        <v/>
      </c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3">
        <f>SUM(O43:Z43)</f>
        <v/>
      </c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  <c r="AL43" s="52" t="n"/>
      <c r="AM43" s="52" t="n"/>
      <c r="AN43" s="53">
        <f>SUM(AB43:AM43)</f>
        <v/>
      </c>
      <c r="AO43" s="52" t="n"/>
      <c r="AP43" s="52" t="n"/>
      <c r="AQ43" s="52" t="n"/>
      <c r="AR43" s="52" t="n"/>
      <c r="AS43" s="52" t="n"/>
      <c r="AT43" s="52" t="n"/>
      <c r="AU43" s="52" t="n"/>
      <c r="AV43" s="52" t="n"/>
      <c r="AW43" s="52" t="n"/>
      <c r="AX43" s="52" t="n"/>
      <c r="AY43" s="52" t="n"/>
      <c r="AZ43" s="52" t="n"/>
      <c r="BA43" s="53">
        <f>SUM(AO43:AZ43)</f>
        <v/>
      </c>
      <c r="BB43" s="52" t="n"/>
      <c r="BC43" s="52" t="n"/>
      <c r="BD43" s="52" t="n"/>
      <c r="BE43" s="52" t="n"/>
      <c r="BF43" s="52" t="n"/>
      <c r="BG43" s="52" t="n"/>
      <c r="BH43" s="52" t="n"/>
      <c r="BI43" s="52" t="n"/>
      <c r="BJ43" s="52" t="n"/>
      <c r="BK43" s="52" t="n"/>
      <c r="BL43" s="52" t="n"/>
      <c r="BM43" s="52" t="n"/>
      <c r="BN43" s="53">
        <f>SUM(BB43:BM43)</f>
        <v/>
      </c>
    </row>
    <row r="44" ht="15.75" customHeight="1" s="77">
      <c r="A44" s="51" t="inlineStr">
        <is>
          <t>Salaires Saisonniers/Temporaires</t>
        </is>
      </c>
      <c r="B44" s="52" t="n"/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52" t="n"/>
      <c r="M44" s="52" t="n"/>
      <c r="N44" s="53">
        <f>SUM(B44:M44)</f>
        <v/>
      </c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3">
        <f>SUM(O44:Z44)</f>
        <v/>
      </c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  <c r="AL44" s="52" t="n"/>
      <c r="AM44" s="52" t="n"/>
      <c r="AN44" s="53">
        <f>SUM(AB44:AM44)</f>
        <v/>
      </c>
      <c r="AO44" s="52" t="n"/>
      <c r="AP44" s="52" t="n"/>
      <c r="AQ44" s="52" t="n"/>
      <c r="AR44" s="52" t="n"/>
      <c r="AS44" s="52" t="n"/>
      <c r="AT44" s="52" t="n"/>
      <c r="AU44" s="52" t="n"/>
      <c r="AV44" s="52" t="n"/>
      <c r="AW44" s="52" t="n"/>
      <c r="AX44" s="52" t="n"/>
      <c r="AY44" s="52" t="n"/>
      <c r="AZ44" s="52" t="n"/>
      <c r="BA44" s="53">
        <f>SUM(AO44:AZ44)</f>
        <v/>
      </c>
      <c r="BB44" s="52" t="n"/>
      <c r="BC44" s="52" t="n"/>
      <c r="BD44" s="52" t="n"/>
      <c r="BE44" s="52" t="n"/>
      <c r="BF44" s="52" t="n"/>
      <c r="BG44" s="52" t="n"/>
      <c r="BH44" s="52" t="n"/>
      <c r="BI44" s="52" t="n"/>
      <c r="BJ44" s="52" t="n"/>
      <c r="BK44" s="52" t="n"/>
      <c r="BL44" s="52" t="n"/>
      <c r="BM44" s="52" t="n"/>
      <c r="BN44" s="53">
        <f>SUM(BB44:BM44)</f>
        <v/>
      </c>
    </row>
    <row r="45" ht="15.75" customHeight="1" s="77">
      <c r="A45" s="51" t="inlineStr">
        <is>
          <t>Primes &amp; Bonus</t>
        </is>
      </c>
      <c r="B45" s="52" t="n"/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52" t="n"/>
      <c r="M45" s="52" t="n"/>
      <c r="N45" s="53">
        <f>SUM(B45:M45)</f>
        <v/>
      </c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3">
        <f>SUM(O45:Z45)</f>
        <v/>
      </c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  <c r="AL45" s="52" t="n"/>
      <c r="AM45" s="52" t="n"/>
      <c r="AN45" s="53">
        <f>SUM(AB45:AM45)</f>
        <v/>
      </c>
      <c r="AO45" s="52" t="n"/>
      <c r="AP45" s="52" t="n"/>
      <c r="AQ45" s="52" t="n"/>
      <c r="AR45" s="52" t="n"/>
      <c r="AS45" s="52" t="n"/>
      <c r="AT45" s="52" t="n"/>
      <c r="AU45" s="52" t="n"/>
      <c r="AV45" s="52" t="n"/>
      <c r="AW45" s="52" t="n"/>
      <c r="AX45" s="52" t="n"/>
      <c r="AY45" s="52" t="n"/>
      <c r="AZ45" s="52" t="n"/>
      <c r="BA45" s="53">
        <f>SUM(AO45:AZ45)</f>
        <v/>
      </c>
      <c r="BB45" s="52" t="n"/>
      <c r="BC45" s="52" t="n"/>
      <c r="BD45" s="52" t="n"/>
      <c r="BE45" s="52" t="n"/>
      <c r="BF45" s="52" t="n"/>
      <c r="BG45" s="52" t="n"/>
      <c r="BH45" s="52" t="n"/>
      <c r="BI45" s="52" t="n"/>
      <c r="BJ45" s="52" t="n"/>
      <c r="BK45" s="52" t="n"/>
      <c r="BL45" s="52" t="n"/>
      <c r="BM45" s="52" t="n"/>
      <c r="BN45" s="53">
        <f>SUM(BB45:BM45)</f>
        <v/>
      </c>
    </row>
    <row r="46" ht="15.75" customHeight="1" s="77">
      <c r="A46" s="51" t="inlineStr">
        <is>
          <t>Formations &amp; Développement</t>
        </is>
      </c>
      <c r="B46" s="52" t="n"/>
      <c r="C46" s="52" t="n"/>
      <c r="D46" s="52" t="n"/>
      <c r="E46" s="52" t="n"/>
      <c r="F46" s="52" t="n"/>
      <c r="G46" s="52" t="n"/>
      <c r="H46" s="52" t="n"/>
      <c r="I46" s="52" t="n"/>
      <c r="J46" s="52" t="n"/>
      <c r="K46" s="52" t="n"/>
      <c r="L46" s="52" t="n"/>
      <c r="M46" s="52" t="n"/>
      <c r="N46" s="53">
        <f>SUM(B46:M46)</f>
        <v/>
      </c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3">
        <f>SUM(O46:Z46)</f>
        <v/>
      </c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  <c r="AL46" s="52" t="n"/>
      <c r="AM46" s="52" t="n"/>
      <c r="AN46" s="53">
        <f>SUM(AB46:AM46)</f>
        <v/>
      </c>
      <c r="AO46" s="52" t="n"/>
      <c r="AP46" s="52" t="n"/>
      <c r="AQ46" s="52" t="n"/>
      <c r="AR46" s="52" t="n"/>
      <c r="AS46" s="52" t="n"/>
      <c r="AT46" s="52" t="n"/>
      <c r="AU46" s="52" t="n"/>
      <c r="AV46" s="52" t="n"/>
      <c r="AW46" s="52" t="n"/>
      <c r="AX46" s="52" t="n"/>
      <c r="AY46" s="52" t="n"/>
      <c r="AZ46" s="52" t="n"/>
      <c r="BA46" s="53">
        <f>SUM(AO46:AZ46)</f>
        <v/>
      </c>
      <c r="BB46" s="52" t="n"/>
      <c r="BC46" s="52" t="n"/>
      <c r="BD46" s="52" t="n"/>
      <c r="BE46" s="52" t="n"/>
      <c r="BF46" s="52" t="n"/>
      <c r="BG46" s="52" t="n"/>
      <c r="BH46" s="52" t="n"/>
      <c r="BI46" s="52" t="n"/>
      <c r="BJ46" s="52" t="n"/>
      <c r="BK46" s="52" t="n"/>
      <c r="BL46" s="52" t="n"/>
      <c r="BM46" s="52" t="n"/>
      <c r="BN46" s="53">
        <f>SUM(BB46:BM46)</f>
        <v/>
      </c>
    </row>
    <row r="47" ht="15.75" customHeight="1" s="77">
      <c r="A47" s="51" t="inlineStr">
        <is>
          <t>Autres Frais RH</t>
        </is>
      </c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  <c r="L47" s="52" t="n"/>
      <c r="M47" s="52" t="n"/>
      <c r="N47" s="53">
        <f>SUM(B47:M47)</f>
        <v/>
      </c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3">
        <f>SUM(O47:Z47)</f>
        <v/>
      </c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  <c r="AL47" s="52" t="n"/>
      <c r="AM47" s="52" t="n"/>
      <c r="AN47" s="53">
        <f>SUM(AB47:AM47)</f>
        <v/>
      </c>
      <c r="AO47" s="52" t="n"/>
      <c r="AP47" s="52" t="n"/>
      <c r="AQ47" s="52" t="n"/>
      <c r="AR47" s="52" t="n"/>
      <c r="AS47" s="52" t="n"/>
      <c r="AT47" s="52" t="n"/>
      <c r="AU47" s="52" t="n"/>
      <c r="AV47" s="52" t="n"/>
      <c r="AW47" s="52" t="n"/>
      <c r="AX47" s="52" t="n"/>
      <c r="AY47" s="52" t="n"/>
      <c r="AZ47" s="52" t="n"/>
      <c r="BA47" s="53">
        <f>SUM(AO47:AZ47)</f>
        <v/>
      </c>
      <c r="BB47" s="52" t="n"/>
      <c r="BC47" s="52" t="n"/>
      <c r="BD47" s="52" t="n"/>
      <c r="BE47" s="52" t="n"/>
      <c r="BF47" s="52" t="n"/>
      <c r="BG47" s="52" t="n"/>
      <c r="BH47" s="52" t="n"/>
      <c r="BI47" s="52" t="n"/>
      <c r="BJ47" s="52" t="n"/>
      <c r="BK47" s="52" t="n"/>
      <c r="BL47" s="52" t="n"/>
      <c r="BM47" s="52" t="n"/>
      <c r="BN47" s="53">
        <f>SUM(BB47:BM47)</f>
        <v/>
      </c>
    </row>
    <row r="48" ht="15.75" customHeight="1" s="77">
      <c r="A48" s="54" t="inlineStr">
        <is>
          <t>TOTAL</t>
        </is>
      </c>
      <c r="B48" s="53">
        <f>SUM(B42:B47)</f>
        <v/>
      </c>
      <c r="C48" s="53">
        <f>SUM(C42:C47)</f>
        <v/>
      </c>
      <c r="D48" s="53">
        <f>SUM(D42:D47)</f>
        <v/>
      </c>
      <c r="E48" s="53">
        <f>SUM(E42:E47)</f>
        <v/>
      </c>
      <c r="F48" s="53">
        <f>SUM(F42:F47)</f>
        <v/>
      </c>
      <c r="G48" s="53">
        <f>SUM(G42:G47)</f>
        <v/>
      </c>
      <c r="H48" s="53">
        <f>SUM(H42:H47)</f>
        <v/>
      </c>
      <c r="I48" s="53">
        <f>SUM(I42:I47)</f>
        <v/>
      </c>
      <c r="J48" s="53">
        <f>SUM(J42:J47)</f>
        <v/>
      </c>
      <c r="K48" s="53">
        <f>SUM(K42:K47)</f>
        <v/>
      </c>
      <c r="L48" s="53">
        <f>SUM(L42:L47)</f>
        <v/>
      </c>
      <c r="M48" s="53">
        <f>SUM(M42:M47)</f>
        <v/>
      </c>
      <c r="N48" s="55">
        <f>SUM(B48:M48)</f>
        <v/>
      </c>
      <c r="O48" s="53">
        <f>SUM(O42:O47)</f>
        <v/>
      </c>
      <c r="P48" s="53">
        <f>SUM(P42:P47)</f>
        <v/>
      </c>
      <c r="Q48" s="53">
        <f>SUM(Q42:Q47)</f>
        <v/>
      </c>
      <c r="R48" s="53">
        <f>SUM(R42:R47)</f>
        <v/>
      </c>
      <c r="S48" s="53">
        <f>SUM(S42:S47)</f>
        <v/>
      </c>
      <c r="T48" s="53">
        <f>SUM(T42:T47)</f>
        <v/>
      </c>
      <c r="U48" s="53">
        <f>SUM(U42:U47)</f>
        <v/>
      </c>
      <c r="V48" s="53">
        <f>SUM(V42:V47)</f>
        <v/>
      </c>
      <c r="W48" s="53">
        <f>SUM(W42:W47)</f>
        <v/>
      </c>
      <c r="X48" s="53">
        <f>SUM(X42:X47)</f>
        <v/>
      </c>
      <c r="Y48" s="53">
        <f>SUM(Y42:Y47)</f>
        <v/>
      </c>
      <c r="Z48" s="53">
        <f>SUM(Z42:Z47)</f>
        <v/>
      </c>
      <c r="AA48" s="55">
        <f>SUM(O48:Z48)</f>
        <v/>
      </c>
      <c r="AB48" s="53">
        <f>SUM(AB42:AB47)</f>
        <v/>
      </c>
      <c r="AC48" s="53">
        <f>SUM(AC42:AC47)</f>
        <v/>
      </c>
      <c r="AD48" s="53">
        <f>SUM(AD42:AD47)</f>
        <v/>
      </c>
      <c r="AE48" s="53">
        <f>SUM(AE42:AE47)</f>
        <v/>
      </c>
      <c r="AF48" s="53">
        <f>SUM(AF42:AF47)</f>
        <v/>
      </c>
      <c r="AG48" s="53">
        <f>SUM(AG42:AG47)</f>
        <v/>
      </c>
      <c r="AH48" s="53">
        <f>SUM(AH42:AH47)</f>
        <v/>
      </c>
      <c r="AI48" s="53">
        <f>SUM(AI42:AI47)</f>
        <v/>
      </c>
      <c r="AJ48" s="53">
        <f>SUM(AJ42:AJ47)</f>
        <v/>
      </c>
      <c r="AK48" s="53">
        <f>SUM(AK42:AK47)</f>
        <v/>
      </c>
      <c r="AL48" s="53">
        <f>SUM(AL42:AL47)</f>
        <v/>
      </c>
      <c r="AM48" s="53">
        <f>SUM(AM42:AM47)</f>
        <v/>
      </c>
      <c r="AN48" s="55">
        <f>SUM(AB48:AM48)</f>
        <v/>
      </c>
      <c r="AO48" s="53">
        <f>SUM(AO42:AO47)</f>
        <v/>
      </c>
      <c r="AP48" s="53">
        <f>SUM(AP42:AP47)</f>
        <v/>
      </c>
      <c r="AQ48" s="53">
        <f>SUM(AQ42:AQ47)</f>
        <v/>
      </c>
      <c r="AR48" s="53">
        <f>SUM(AR42:AR47)</f>
        <v/>
      </c>
      <c r="AS48" s="53">
        <f>SUM(AS42:AS47)</f>
        <v/>
      </c>
      <c r="AT48" s="53">
        <f>SUM(AT42:AT47)</f>
        <v/>
      </c>
      <c r="AU48" s="53">
        <f>SUM(AU42:AU47)</f>
        <v/>
      </c>
      <c r="AV48" s="53">
        <f>SUM(AV42:AV47)</f>
        <v/>
      </c>
      <c r="AW48" s="53">
        <f>SUM(AW42:AW47)</f>
        <v/>
      </c>
      <c r="AX48" s="53">
        <f>SUM(AX42:AX47)</f>
        <v/>
      </c>
      <c r="AY48" s="53">
        <f>SUM(AY42:AY47)</f>
        <v/>
      </c>
      <c r="AZ48" s="53">
        <f>SUM(AZ42:AZ47)</f>
        <v/>
      </c>
      <c r="BA48" s="55">
        <f>SUM(AO48:AZ48)</f>
        <v/>
      </c>
      <c r="BB48" s="53">
        <f>SUM(BB42:BB47)</f>
        <v/>
      </c>
      <c r="BC48" s="53">
        <f>SUM(BC42:BC47)</f>
        <v/>
      </c>
      <c r="BD48" s="53">
        <f>SUM(BD42:BD47)</f>
        <v/>
      </c>
      <c r="BE48" s="53">
        <f>SUM(BE42:BE47)</f>
        <v/>
      </c>
      <c r="BF48" s="53">
        <f>SUM(BF42:BF47)</f>
        <v/>
      </c>
      <c r="BG48" s="53">
        <f>SUM(BG42:BG47)</f>
        <v/>
      </c>
      <c r="BH48" s="53">
        <f>SUM(BH42:BH47)</f>
        <v/>
      </c>
      <c r="BI48" s="53">
        <f>SUM(BI42:BI47)</f>
        <v/>
      </c>
      <c r="BJ48" s="53">
        <f>SUM(BJ42:BJ47)</f>
        <v/>
      </c>
      <c r="BK48" s="53">
        <f>SUM(BK42:BK47)</f>
        <v/>
      </c>
      <c r="BL48" s="53">
        <f>SUM(BL42:BL47)</f>
        <v/>
      </c>
      <c r="BM48" s="53">
        <f>SUM(BM42:BM47)</f>
        <v/>
      </c>
      <c r="BN48" s="55">
        <f>SUM(BB48:BM48)</f>
        <v/>
      </c>
    </row>
    <row r="49" ht="15.75" customHeight="1" s="77"/>
    <row r="50" ht="15.75" customHeight="1" s="77">
      <c r="A50" s="86" t="inlineStr">
        <is>
          <t>💡 Conseil : Saisissez les montants mois par mois pour refléter les variations saisonnières. Les totaux se calculent automatiquement.</t>
        </is>
      </c>
    </row>
    <row r="51" ht="15.75" customHeight="1" s="77"/>
    <row r="52" ht="15.75" customHeight="1" s="77"/>
    <row r="53" ht="15.75" customHeight="1" s="77"/>
    <row r="54" ht="15.75" customHeight="1" s="77"/>
    <row r="55" ht="15.75" customHeight="1" s="77"/>
    <row r="56" ht="15.75" customHeight="1" s="77"/>
    <row r="57" ht="15.75" customHeight="1" s="77"/>
    <row r="58" ht="15.75" customHeight="1" s="77"/>
    <row r="59" ht="15.75" customHeight="1" s="77"/>
    <row r="60" ht="15.75" customHeight="1" s="77"/>
    <row r="61" ht="15.75" customHeight="1" s="77"/>
    <row r="62" ht="15.75" customHeight="1" s="77"/>
    <row r="63" ht="15.75" customHeight="1" s="77"/>
    <row r="64" ht="15.75" customHeight="1" s="77"/>
    <row r="65" ht="15.75" customHeight="1" s="77"/>
    <row r="66" ht="15.75" customHeight="1" s="77"/>
    <row r="67" ht="15.75" customHeight="1" s="77"/>
    <row r="68" ht="15.75" customHeight="1" s="77"/>
    <row r="69" ht="15.75" customHeight="1" s="77"/>
    <row r="70" ht="15.75" customHeight="1" s="77"/>
    <row r="71" ht="15.75" customHeight="1" s="77"/>
    <row r="72" ht="15.75" customHeight="1" s="77"/>
    <row r="73" ht="15.75" customHeight="1" s="77"/>
    <row r="74" ht="15.75" customHeight="1" s="77"/>
    <row r="75" ht="15.75" customHeight="1" s="77"/>
    <row r="76" ht="15.75" customHeight="1" s="77"/>
    <row r="77" ht="15.75" customHeight="1" s="77"/>
    <row r="78" ht="15.75" customHeight="1" s="77"/>
    <row r="79" ht="15.75" customHeight="1" s="77"/>
    <row r="80" ht="15.75" customHeight="1" s="77"/>
    <row r="81" ht="15.75" customHeight="1" s="77"/>
    <row r="82" ht="15.75" customHeight="1" s="77"/>
    <row r="83" ht="15.75" customHeight="1" s="77"/>
    <row r="84" ht="15.75" customHeight="1" s="77"/>
    <row r="85" ht="15.75" customHeight="1" s="77"/>
    <row r="86" ht="15.75" customHeight="1" s="77"/>
    <row r="87" ht="15.75" customHeight="1" s="77"/>
    <row r="88" ht="15.75" customHeight="1" s="77"/>
    <row r="89" ht="15.75" customHeight="1" s="77"/>
    <row r="90" ht="15.75" customHeight="1" s="77"/>
    <row r="91" ht="15.75" customHeight="1" s="77"/>
    <row r="92" ht="15.75" customHeight="1" s="77"/>
    <row r="93" ht="15.75" customHeight="1" s="77"/>
    <row r="94" ht="15.75" customHeight="1" s="77"/>
    <row r="95" ht="15.75" customHeight="1" s="77"/>
    <row r="96" ht="15.75" customHeight="1" s="77"/>
    <row r="97" ht="15.75" customHeight="1" s="77"/>
    <row r="98" ht="15.75" customHeight="1" s="77"/>
    <row r="99" ht="15.75" customHeight="1" s="77"/>
    <row r="100" ht="15.75" customHeight="1" s="77"/>
    <row r="101" ht="15.75" customHeight="1" s="77"/>
    <row r="102" ht="15.75" customHeight="1" s="77"/>
    <row r="103" ht="15.75" customHeight="1" s="77"/>
    <row r="104" ht="15.75" customHeight="1" s="77"/>
    <row r="105" ht="15.75" customHeight="1" s="77"/>
    <row r="106" ht="15.75" customHeight="1" s="77"/>
    <row r="107" ht="15.75" customHeight="1" s="77"/>
    <row r="108" ht="15.75" customHeight="1" s="77"/>
    <row r="109" ht="15.75" customHeight="1" s="77"/>
    <row r="110" ht="15.75" customHeight="1" s="77"/>
    <row r="111" ht="15.75" customHeight="1" s="77"/>
    <row r="112" ht="15.75" customHeight="1" s="77"/>
    <row r="113" ht="15.75" customHeight="1" s="77"/>
    <row r="114" ht="15.75" customHeight="1" s="77"/>
    <row r="115" ht="15.75" customHeight="1" s="77"/>
    <row r="116" ht="15.75" customHeight="1" s="77"/>
    <row r="117" ht="15.75" customHeight="1" s="77"/>
    <row r="118" ht="15.75" customHeight="1" s="77"/>
    <row r="119" ht="15.75" customHeight="1" s="77"/>
    <row r="120" ht="15.75" customHeight="1" s="77"/>
    <row r="121" ht="15.75" customHeight="1" s="77"/>
    <row r="122" ht="15.75" customHeight="1" s="77"/>
    <row r="123" ht="15.75" customHeight="1" s="77"/>
    <row r="124" ht="15.75" customHeight="1" s="77"/>
    <row r="125" ht="15.75" customHeight="1" s="77"/>
    <row r="126" ht="15.75" customHeight="1" s="77"/>
    <row r="127" ht="15.75" customHeight="1" s="77"/>
    <row r="128" ht="15.75" customHeight="1" s="77"/>
    <row r="129" ht="15.75" customHeight="1" s="77"/>
    <row r="130" ht="15.75" customHeight="1" s="77"/>
    <row r="131" ht="15.75" customHeight="1" s="77"/>
    <row r="132" ht="15.75" customHeight="1" s="77"/>
    <row r="133" ht="15.75" customHeight="1" s="77"/>
    <row r="134" ht="15.75" customHeight="1" s="77"/>
    <row r="135" ht="15.75" customHeight="1" s="77"/>
    <row r="136" ht="15.75" customHeight="1" s="77"/>
    <row r="137" ht="15.75" customHeight="1" s="77"/>
    <row r="138" ht="15.75" customHeight="1" s="77"/>
    <row r="139" ht="15.75" customHeight="1" s="77"/>
    <row r="140" ht="15.75" customHeight="1" s="77"/>
    <row r="141" ht="15.75" customHeight="1" s="77"/>
    <row r="142" ht="15.75" customHeight="1" s="77"/>
    <row r="143" ht="15.75" customHeight="1" s="77"/>
    <row r="144" ht="15.75" customHeight="1" s="77"/>
    <row r="145" ht="15.75" customHeight="1" s="77"/>
    <row r="146" ht="15.75" customHeight="1" s="77"/>
    <row r="147" ht="15.75" customHeight="1" s="77"/>
    <row r="148" ht="15.75" customHeight="1" s="77"/>
    <row r="149" ht="15.75" customHeight="1" s="77"/>
    <row r="150" ht="15.75" customHeight="1" s="77"/>
    <row r="151" ht="15.75" customHeight="1" s="77"/>
    <row r="152" ht="15.75" customHeight="1" s="77"/>
    <row r="153" ht="15.75" customHeight="1" s="77"/>
    <row r="154" ht="15.75" customHeight="1" s="77"/>
    <row r="155" ht="15.75" customHeight="1" s="77"/>
    <row r="156" ht="15.75" customHeight="1" s="77"/>
    <row r="157" ht="15.75" customHeight="1" s="77"/>
    <row r="158" ht="15.75" customHeight="1" s="77"/>
    <row r="159" ht="15.75" customHeight="1" s="77"/>
    <row r="160" ht="15.75" customHeight="1" s="77"/>
    <row r="161" ht="15.75" customHeight="1" s="77"/>
    <row r="162" ht="15.75" customHeight="1" s="77"/>
    <row r="163" ht="15.75" customHeight="1" s="77"/>
    <row r="164" ht="15.75" customHeight="1" s="77"/>
    <row r="165" ht="15.75" customHeight="1" s="77"/>
    <row r="166" ht="15.75" customHeight="1" s="77"/>
    <row r="167" ht="15.75" customHeight="1" s="77"/>
    <row r="168" ht="15.75" customHeight="1" s="77"/>
    <row r="169" ht="15.75" customHeight="1" s="77"/>
    <row r="170" ht="15.75" customHeight="1" s="77"/>
    <row r="171" ht="15.75" customHeight="1" s="77"/>
    <row r="172" ht="15.75" customHeight="1" s="77"/>
    <row r="173" ht="15.75" customHeight="1" s="77"/>
    <row r="174" ht="15.75" customHeight="1" s="77"/>
    <row r="175" ht="15.75" customHeight="1" s="77"/>
    <row r="176" ht="15.75" customHeight="1" s="77"/>
    <row r="177" ht="15.75" customHeight="1" s="77"/>
    <row r="178" ht="15.75" customHeight="1" s="77"/>
    <row r="179" ht="15.75" customHeight="1" s="77"/>
    <row r="180" ht="15.75" customHeight="1" s="77"/>
    <row r="181" ht="15.75" customHeight="1" s="77"/>
    <row r="182" ht="15.75" customHeight="1" s="77"/>
    <row r="183" ht="15.75" customHeight="1" s="77"/>
    <row r="184" ht="15.75" customHeight="1" s="77"/>
    <row r="185" ht="15.75" customHeight="1" s="77"/>
    <row r="186" ht="15.75" customHeight="1" s="77"/>
    <row r="187" ht="15.75" customHeight="1" s="77"/>
    <row r="188" ht="15.75" customHeight="1" s="77"/>
    <row r="189" ht="15.75" customHeight="1" s="77"/>
    <row r="190" ht="15.75" customHeight="1" s="77"/>
    <row r="191" ht="15.75" customHeight="1" s="77"/>
    <row r="192" ht="15.75" customHeight="1" s="77"/>
    <row r="193" ht="15.75" customHeight="1" s="77"/>
    <row r="194" ht="15.75" customHeight="1" s="77"/>
    <row r="195" ht="15.75" customHeight="1" s="77"/>
    <row r="196" ht="15.75" customHeight="1" s="77"/>
    <row r="197" ht="15.75" customHeight="1" s="77"/>
    <row r="198" ht="15.75" customHeight="1" s="77"/>
    <row r="199" ht="15.75" customHeight="1" s="77"/>
    <row r="200" ht="15.75" customHeight="1" s="77"/>
    <row r="201" ht="15.75" customHeight="1" s="77"/>
    <row r="202" ht="15.75" customHeight="1" s="77"/>
    <row r="203" ht="15.75" customHeight="1" s="77"/>
    <row r="204" ht="15.75" customHeight="1" s="77"/>
    <row r="205" ht="15.75" customHeight="1" s="77"/>
    <row r="206" ht="15.75" customHeight="1" s="77"/>
    <row r="207" ht="15.75" customHeight="1" s="77"/>
    <row r="208" ht="15.75" customHeight="1" s="77"/>
    <row r="209" ht="15.75" customHeight="1" s="77"/>
    <row r="210" ht="15.75" customHeight="1" s="77"/>
    <row r="211" ht="15.75" customHeight="1" s="77"/>
    <row r="212" ht="15.75" customHeight="1" s="77"/>
    <row r="213" ht="15.75" customHeight="1" s="77"/>
    <row r="214" ht="15.75" customHeight="1" s="77"/>
    <row r="215" ht="15.75" customHeight="1" s="77"/>
    <row r="216" ht="15.75" customHeight="1" s="77"/>
    <row r="217" ht="15.75" customHeight="1" s="77"/>
    <row r="218" ht="15.75" customHeight="1" s="77"/>
    <row r="219" ht="15.75" customHeight="1" s="77"/>
    <row r="220" ht="15.75" customHeight="1" s="77"/>
    <row r="221" ht="15.75" customHeight="1" s="77"/>
    <row r="222" ht="15.75" customHeight="1" s="77"/>
    <row r="223" ht="15.75" customHeight="1" s="77"/>
    <row r="224" ht="15.75" customHeight="1" s="77"/>
    <row r="225" ht="15.75" customHeight="1" s="77"/>
    <row r="226" ht="15.75" customHeight="1" s="77"/>
    <row r="227" ht="15.75" customHeight="1" s="77"/>
    <row r="228" ht="15.75" customHeight="1" s="77"/>
    <row r="229" ht="15.75" customHeight="1" s="77"/>
    <row r="230" ht="15.75" customHeight="1" s="77"/>
    <row r="231" ht="15.75" customHeight="1" s="77"/>
    <row r="232" ht="15.75" customHeight="1" s="77"/>
    <row r="233" ht="15.75" customHeight="1" s="77"/>
    <row r="234" ht="15.75" customHeight="1" s="77"/>
    <row r="235" ht="15.75" customHeight="1" s="77"/>
    <row r="236" ht="15.75" customHeight="1" s="77"/>
    <row r="237" ht="15.75" customHeight="1" s="77"/>
    <row r="238" ht="15.75" customHeight="1" s="77"/>
    <row r="239" ht="15.75" customHeight="1" s="77"/>
    <row r="240" ht="15.75" customHeight="1" s="77"/>
    <row r="241" ht="15.75" customHeight="1" s="77"/>
    <row r="242" ht="15.75" customHeight="1" s="77"/>
    <row r="243" ht="15.75" customHeight="1" s="77"/>
    <row r="244" ht="15.75" customHeight="1" s="77"/>
    <row r="245" ht="15.75" customHeight="1" s="77"/>
    <row r="246" ht="15.75" customHeight="1" s="77"/>
    <row r="247" ht="15.75" customHeight="1" s="77"/>
    <row r="248" ht="15.75" customHeight="1" s="77"/>
    <row r="249" ht="15.75" customHeight="1" s="77"/>
    <row r="250" ht="15.75" customHeight="1" s="77"/>
    <row r="251" ht="15.75" customHeight="1" s="77"/>
    <row r="252" ht="15.75" customHeight="1" s="77"/>
    <row r="253" ht="15.75" customHeight="1" s="77"/>
    <row r="254" ht="15.75" customHeight="1" s="77"/>
    <row r="255" ht="15.75" customHeight="1" s="77"/>
    <row r="256" ht="15.75" customHeight="1" s="77"/>
    <row r="257" ht="15.75" customHeight="1" s="77"/>
    <row r="258" ht="15.75" customHeight="1" s="77"/>
    <row r="259" ht="15.75" customHeight="1" s="77"/>
    <row r="260" ht="15.75" customHeight="1" s="77"/>
    <row r="261" ht="15.75" customHeight="1" s="77"/>
    <row r="262" ht="15.75" customHeight="1" s="77"/>
    <row r="263" ht="15.75" customHeight="1" s="77"/>
    <row r="264" ht="15.75" customHeight="1" s="77"/>
    <row r="265" ht="15.75" customHeight="1" s="77"/>
    <row r="266" ht="15.75" customHeight="1" s="77"/>
    <row r="267" ht="15.75" customHeight="1" s="77"/>
    <row r="268" ht="15.75" customHeight="1" s="77"/>
    <row r="269" ht="15.75" customHeight="1" s="77"/>
    <row r="270" ht="15.75" customHeight="1" s="77"/>
    <row r="271" ht="15.75" customHeight="1" s="77"/>
    <row r="272" ht="15.75" customHeight="1" s="77"/>
    <row r="273" ht="15.75" customHeight="1" s="77"/>
    <row r="274" ht="15.75" customHeight="1" s="77"/>
    <row r="275" ht="15.75" customHeight="1" s="77"/>
    <row r="276" ht="15.75" customHeight="1" s="77"/>
    <row r="277" ht="15.75" customHeight="1" s="77"/>
    <row r="278" ht="15.75" customHeight="1" s="77"/>
    <row r="279" ht="15.75" customHeight="1" s="77"/>
    <row r="280" ht="15.75" customHeight="1" s="77"/>
    <row r="281" ht="15.75" customHeight="1" s="77"/>
    <row r="282" ht="15.75" customHeight="1" s="77"/>
    <row r="283" ht="15.75" customHeight="1" s="77"/>
    <row r="284" ht="15.75" customHeight="1" s="77"/>
    <row r="285" ht="15.75" customHeight="1" s="77"/>
    <row r="286" ht="15.75" customHeight="1" s="77"/>
    <row r="287" ht="15.75" customHeight="1" s="77"/>
    <row r="288" ht="15.75" customHeight="1" s="77"/>
    <row r="289" ht="15.75" customHeight="1" s="77"/>
    <row r="290" ht="15.75" customHeight="1" s="77"/>
    <row r="291" ht="15.75" customHeight="1" s="77"/>
    <row r="292" ht="15.75" customHeight="1" s="77"/>
    <row r="293" ht="15.75" customHeight="1" s="77"/>
    <row r="294" ht="15.75" customHeight="1" s="77"/>
    <row r="295" ht="15.75" customHeight="1" s="77"/>
    <row r="296" ht="15.75" customHeight="1" s="77"/>
    <row r="297" ht="15.75" customHeight="1" s="77"/>
    <row r="298" ht="15.75" customHeight="1" s="77"/>
    <row r="299" ht="15.75" customHeight="1" s="77"/>
    <row r="300" ht="15.75" customHeight="1" s="77"/>
    <row r="301" ht="15.75" customHeight="1" s="77"/>
    <row r="302" ht="15.75" customHeight="1" s="77"/>
    <row r="303" ht="15.75" customHeight="1" s="77"/>
    <row r="304" ht="15.75" customHeight="1" s="77"/>
    <row r="305" ht="15.75" customHeight="1" s="77"/>
    <row r="306" ht="15.75" customHeight="1" s="77"/>
    <row r="307" ht="15.75" customHeight="1" s="77"/>
    <row r="308" ht="15.75" customHeight="1" s="77"/>
    <row r="309" ht="15.75" customHeight="1" s="77"/>
    <row r="310" ht="15.75" customHeight="1" s="77"/>
    <row r="311" ht="15.75" customHeight="1" s="77"/>
    <row r="312" ht="15.75" customHeight="1" s="77"/>
    <row r="313" ht="15.75" customHeight="1" s="77"/>
    <row r="314" ht="15.75" customHeight="1" s="77"/>
    <row r="315" ht="15.75" customHeight="1" s="77"/>
    <row r="316" ht="15.75" customHeight="1" s="77"/>
    <row r="317" ht="15.75" customHeight="1" s="77"/>
    <row r="318" ht="15.75" customHeight="1" s="77"/>
    <row r="319" ht="15.75" customHeight="1" s="77"/>
    <row r="320" ht="15.75" customHeight="1" s="77"/>
    <row r="321" ht="15.75" customHeight="1" s="77"/>
    <row r="322" ht="15.75" customHeight="1" s="77"/>
    <row r="323" ht="15.75" customHeight="1" s="77"/>
    <row r="324" ht="15.75" customHeight="1" s="77"/>
    <row r="325" ht="15.75" customHeight="1" s="77"/>
    <row r="326" ht="15.75" customHeight="1" s="77"/>
    <row r="327" ht="15.75" customHeight="1" s="77"/>
    <row r="328" ht="15.75" customHeight="1" s="77"/>
    <row r="329" ht="15.75" customHeight="1" s="77"/>
    <row r="330" ht="15.75" customHeight="1" s="77"/>
    <row r="331" ht="15.75" customHeight="1" s="77"/>
    <row r="332" ht="15.75" customHeight="1" s="77"/>
    <row r="333" ht="15.75" customHeight="1" s="77"/>
    <row r="334" ht="15.75" customHeight="1" s="77"/>
    <row r="335" ht="15.75" customHeight="1" s="77"/>
    <row r="336" ht="15.75" customHeight="1" s="77"/>
    <row r="337" ht="15.75" customHeight="1" s="77"/>
    <row r="338" ht="15.75" customHeight="1" s="77"/>
    <row r="339" ht="15.75" customHeight="1" s="77"/>
    <row r="340" ht="15.75" customHeight="1" s="77"/>
    <row r="341" ht="15.75" customHeight="1" s="77"/>
    <row r="342" ht="15.75" customHeight="1" s="77"/>
    <row r="343" ht="15.75" customHeight="1" s="77"/>
    <row r="344" ht="15.75" customHeight="1" s="77"/>
    <row r="345" ht="15.75" customHeight="1" s="77"/>
    <row r="346" ht="15.75" customHeight="1" s="77"/>
    <row r="347" ht="15.75" customHeight="1" s="77"/>
    <row r="348" ht="15.75" customHeight="1" s="77"/>
    <row r="349" ht="15.75" customHeight="1" s="77"/>
    <row r="350" ht="15.75" customHeight="1" s="77"/>
    <row r="351" ht="15.75" customHeight="1" s="77"/>
    <row r="352" ht="15.75" customHeight="1" s="77"/>
    <row r="353" ht="15.75" customHeight="1" s="77"/>
    <row r="354" ht="15.75" customHeight="1" s="77"/>
    <row r="355" ht="15.75" customHeight="1" s="77"/>
    <row r="356" ht="15.75" customHeight="1" s="77"/>
    <row r="357" ht="15.75" customHeight="1" s="77"/>
    <row r="358" ht="15.75" customHeight="1" s="77"/>
    <row r="359" ht="15.75" customHeight="1" s="77"/>
    <row r="360" ht="15.75" customHeight="1" s="77"/>
    <row r="361" ht="15.75" customHeight="1" s="77"/>
    <row r="362" ht="15.75" customHeight="1" s="77"/>
    <row r="363" ht="15.75" customHeight="1" s="77"/>
    <row r="364" ht="15.75" customHeight="1" s="77"/>
    <row r="365" ht="15.75" customHeight="1" s="77"/>
    <row r="366" ht="15.75" customHeight="1" s="77"/>
    <row r="367" ht="15.75" customHeight="1" s="77"/>
    <row r="368" ht="15.75" customHeight="1" s="77"/>
    <row r="369" ht="15.75" customHeight="1" s="77"/>
    <row r="370" ht="15.75" customHeight="1" s="77"/>
    <row r="371" ht="15.75" customHeight="1" s="77"/>
    <row r="372" ht="15.75" customHeight="1" s="77"/>
    <row r="373" ht="15.75" customHeight="1" s="77"/>
    <row r="374" ht="15.75" customHeight="1" s="77"/>
    <row r="375" ht="15.75" customHeight="1" s="77"/>
    <row r="376" ht="15.75" customHeight="1" s="77"/>
    <row r="377" ht="15.75" customHeight="1" s="77"/>
    <row r="378" ht="15.75" customHeight="1" s="77"/>
    <row r="379" ht="15.75" customHeight="1" s="77"/>
    <row r="380" ht="15.75" customHeight="1" s="77"/>
    <row r="381" ht="15.75" customHeight="1" s="77"/>
    <row r="382" ht="15.75" customHeight="1" s="77"/>
    <row r="383" ht="15.75" customHeight="1" s="77"/>
    <row r="384" ht="15.75" customHeight="1" s="77"/>
    <row r="385" ht="15.75" customHeight="1" s="77"/>
    <row r="386" ht="15.75" customHeight="1" s="77"/>
    <row r="387" ht="15.75" customHeight="1" s="77"/>
    <row r="388" ht="15.75" customHeight="1" s="77"/>
    <row r="389" ht="15.75" customHeight="1" s="77"/>
    <row r="390" ht="15.75" customHeight="1" s="77"/>
    <row r="391" ht="15.75" customHeight="1" s="77"/>
    <row r="392" ht="15.75" customHeight="1" s="77"/>
    <row r="393" ht="15.75" customHeight="1" s="77"/>
    <row r="394" ht="15.75" customHeight="1" s="77"/>
    <row r="395" ht="15.75" customHeight="1" s="77"/>
    <row r="396" ht="15.75" customHeight="1" s="77"/>
    <row r="397" ht="15.75" customHeight="1" s="77"/>
    <row r="398" ht="15.75" customHeight="1" s="77"/>
    <row r="399" ht="15.75" customHeight="1" s="77"/>
    <row r="400" ht="15.75" customHeight="1" s="77"/>
    <row r="401" ht="15.75" customHeight="1" s="77"/>
    <row r="402" ht="15.75" customHeight="1" s="77"/>
    <row r="403" ht="15.75" customHeight="1" s="77"/>
    <row r="404" ht="15.75" customHeight="1" s="77"/>
    <row r="405" ht="15.75" customHeight="1" s="77"/>
    <row r="406" ht="15.75" customHeight="1" s="77"/>
    <row r="407" ht="15.75" customHeight="1" s="77"/>
    <row r="408" ht="15.75" customHeight="1" s="77"/>
    <row r="409" ht="15.75" customHeight="1" s="77"/>
    <row r="410" ht="15.75" customHeight="1" s="77"/>
    <row r="411" ht="15.75" customHeight="1" s="77"/>
    <row r="412" ht="15.75" customHeight="1" s="77"/>
    <row r="413" ht="15.75" customHeight="1" s="77"/>
    <row r="414" ht="15.75" customHeight="1" s="77"/>
    <row r="415" ht="15.75" customHeight="1" s="77"/>
    <row r="416" ht="15.75" customHeight="1" s="77"/>
    <row r="417" ht="15.75" customHeight="1" s="77"/>
    <row r="418" ht="15.75" customHeight="1" s="77"/>
    <row r="419" ht="15.75" customHeight="1" s="77"/>
    <row r="420" ht="15.75" customHeight="1" s="77"/>
    <row r="421" ht="15.75" customHeight="1" s="77"/>
    <row r="422" ht="15.75" customHeight="1" s="77"/>
    <row r="423" ht="15.75" customHeight="1" s="77"/>
    <row r="424" ht="15.75" customHeight="1" s="77"/>
    <row r="425" ht="15.75" customHeight="1" s="77"/>
    <row r="426" ht="15.75" customHeight="1" s="77"/>
    <row r="427" ht="15.75" customHeight="1" s="77"/>
    <row r="428" ht="15.75" customHeight="1" s="77"/>
    <row r="429" ht="15.75" customHeight="1" s="77"/>
    <row r="430" ht="15.75" customHeight="1" s="77"/>
    <row r="431" ht="15.75" customHeight="1" s="77"/>
    <row r="432" ht="15.75" customHeight="1" s="77"/>
    <row r="433" ht="15.75" customHeight="1" s="77"/>
    <row r="434" ht="15.75" customHeight="1" s="77"/>
    <row r="435" ht="15.75" customHeight="1" s="77"/>
    <row r="436" ht="15.75" customHeight="1" s="77"/>
    <row r="437" ht="15.75" customHeight="1" s="77"/>
    <row r="438" ht="15.75" customHeight="1" s="77"/>
    <row r="439" ht="15.75" customHeight="1" s="77"/>
    <row r="440" ht="15.75" customHeight="1" s="77"/>
    <row r="441" ht="15.75" customHeight="1" s="77"/>
    <row r="442" ht="15.75" customHeight="1" s="77"/>
    <row r="443" ht="15.75" customHeight="1" s="77"/>
    <row r="444" ht="15.75" customHeight="1" s="77"/>
    <row r="445" ht="15.75" customHeight="1" s="77"/>
    <row r="446" ht="15.75" customHeight="1" s="77"/>
    <row r="447" ht="15.75" customHeight="1" s="77"/>
    <row r="448" ht="15.75" customHeight="1" s="77"/>
    <row r="449" ht="15.75" customHeight="1" s="77"/>
    <row r="450" ht="15.75" customHeight="1" s="77"/>
    <row r="451" ht="15.75" customHeight="1" s="77"/>
    <row r="452" ht="15.75" customHeight="1" s="77"/>
    <row r="453" ht="15.75" customHeight="1" s="77"/>
    <row r="454" ht="15.75" customHeight="1" s="77"/>
    <row r="455" ht="15.75" customHeight="1" s="77"/>
    <row r="456" ht="15.75" customHeight="1" s="77"/>
    <row r="457" ht="15.75" customHeight="1" s="77"/>
    <row r="458" ht="15.75" customHeight="1" s="77"/>
    <row r="459" ht="15.75" customHeight="1" s="77"/>
    <row r="460" ht="15.75" customHeight="1" s="77"/>
    <row r="461" ht="15.75" customHeight="1" s="77"/>
    <row r="462" ht="15.75" customHeight="1" s="77"/>
    <row r="463" ht="15.75" customHeight="1" s="77"/>
    <row r="464" ht="15.75" customHeight="1" s="77"/>
    <row r="465" ht="15.75" customHeight="1" s="77"/>
    <row r="466" ht="15.75" customHeight="1" s="77"/>
    <row r="467" ht="15.75" customHeight="1" s="77"/>
    <row r="468" ht="15.75" customHeight="1" s="77"/>
    <row r="469" ht="15.75" customHeight="1" s="77"/>
    <row r="470" ht="15.75" customHeight="1" s="77"/>
    <row r="471" ht="15.75" customHeight="1" s="77"/>
    <row r="472" ht="15.75" customHeight="1" s="77"/>
    <row r="473" ht="15.75" customHeight="1" s="77"/>
    <row r="474" ht="15.75" customHeight="1" s="77"/>
    <row r="475" ht="15.75" customHeight="1" s="77"/>
    <row r="476" ht="15.75" customHeight="1" s="77"/>
    <row r="477" ht="15.75" customHeight="1" s="77"/>
    <row r="478" ht="15.75" customHeight="1" s="77"/>
    <row r="479" ht="15.75" customHeight="1" s="77"/>
    <row r="480" ht="15.75" customHeight="1" s="77"/>
    <row r="481" ht="15.75" customHeight="1" s="77"/>
    <row r="482" ht="15.75" customHeight="1" s="77"/>
    <row r="483" ht="15.75" customHeight="1" s="77"/>
    <row r="484" ht="15.75" customHeight="1" s="77"/>
    <row r="485" ht="15.75" customHeight="1" s="77"/>
    <row r="486" ht="15.75" customHeight="1" s="77"/>
    <row r="487" ht="15.75" customHeight="1" s="77"/>
    <row r="488" ht="15.75" customHeight="1" s="77"/>
    <row r="489" ht="15.75" customHeight="1" s="77"/>
    <row r="490" ht="15.75" customHeight="1" s="77"/>
    <row r="491" ht="15.75" customHeight="1" s="77"/>
    <row r="492" ht="15.75" customHeight="1" s="77"/>
    <row r="493" ht="15.75" customHeight="1" s="77"/>
    <row r="494" ht="15.75" customHeight="1" s="77"/>
    <row r="495" ht="15.75" customHeight="1" s="77"/>
    <row r="496" ht="15.75" customHeight="1" s="77"/>
    <row r="497" ht="15.75" customHeight="1" s="77"/>
    <row r="498" ht="15.75" customHeight="1" s="77"/>
    <row r="499" ht="15.75" customHeight="1" s="77"/>
    <row r="500" ht="15.75" customHeight="1" s="77"/>
    <row r="501" ht="15.75" customHeight="1" s="77"/>
    <row r="502" ht="15.75" customHeight="1" s="77"/>
    <row r="503" ht="15.75" customHeight="1" s="77"/>
    <row r="504" ht="15.75" customHeight="1" s="77"/>
    <row r="505" ht="15.75" customHeight="1" s="77"/>
    <row r="506" ht="15.75" customHeight="1" s="77"/>
    <row r="507" ht="15.75" customHeight="1" s="77"/>
    <row r="508" ht="15.75" customHeight="1" s="77"/>
    <row r="509" ht="15.75" customHeight="1" s="77"/>
    <row r="510" ht="15.75" customHeight="1" s="77"/>
    <row r="511" ht="15.75" customHeight="1" s="77"/>
    <row r="512" ht="15.75" customHeight="1" s="77"/>
    <row r="513" ht="15.75" customHeight="1" s="77"/>
    <row r="514" ht="15.75" customHeight="1" s="77"/>
    <row r="515" ht="15.75" customHeight="1" s="77"/>
    <row r="516" ht="15.75" customHeight="1" s="77"/>
    <row r="517" ht="15.75" customHeight="1" s="77"/>
    <row r="518" ht="15.75" customHeight="1" s="77"/>
    <row r="519" ht="15.75" customHeight="1" s="77"/>
    <row r="520" ht="15.75" customHeight="1" s="77"/>
    <row r="521" ht="15.75" customHeight="1" s="77"/>
    <row r="522" ht="15.75" customHeight="1" s="77"/>
    <row r="523" ht="15.75" customHeight="1" s="77"/>
    <row r="524" ht="15.75" customHeight="1" s="77"/>
    <row r="525" ht="15.75" customHeight="1" s="77"/>
    <row r="526" ht="15.75" customHeight="1" s="77"/>
    <row r="527" ht="15.75" customHeight="1" s="77"/>
    <row r="528" ht="15.75" customHeight="1" s="77"/>
    <row r="529" ht="15.75" customHeight="1" s="77"/>
    <row r="530" ht="15.75" customHeight="1" s="77"/>
    <row r="531" ht="15.75" customHeight="1" s="77"/>
    <row r="532" ht="15.75" customHeight="1" s="77"/>
    <row r="533" ht="15.75" customHeight="1" s="77"/>
    <row r="534" ht="15.75" customHeight="1" s="77"/>
    <row r="535" ht="15.75" customHeight="1" s="77"/>
    <row r="536" ht="15.75" customHeight="1" s="77"/>
    <row r="537" ht="15.75" customHeight="1" s="77"/>
    <row r="538" ht="15.75" customHeight="1" s="77"/>
    <row r="539" ht="15.75" customHeight="1" s="77"/>
    <row r="540" ht="15.75" customHeight="1" s="77"/>
    <row r="541" ht="15.75" customHeight="1" s="77"/>
    <row r="542" ht="15.75" customHeight="1" s="77"/>
    <row r="543" ht="15.75" customHeight="1" s="77"/>
    <row r="544" ht="15.75" customHeight="1" s="77"/>
    <row r="545" ht="15.75" customHeight="1" s="77"/>
    <row r="546" ht="15.75" customHeight="1" s="77"/>
    <row r="547" ht="15.75" customHeight="1" s="77"/>
    <row r="548" ht="15.75" customHeight="1" s="77"/>
    <row r="549" ht="15.75" customHeight="1" s="77"/>
    <row r="550" ht="15.75" customHeight="1" s="77"/>
    <row r="551" ht="15.75" customHeight="1" s="77"/>
    <row r="552" ht="15.75" customHeight="1" s="77"/>
    <row r="553" ht="15.75" customHeight="1" s="77"/>
    <row r="554" ht="15.75" customHeight="1" s="77"/>
    <row r="555" ht="15.75" customHeight="1" s="77"/>
    <row r="556" ht="15.75" customHeight="1" s="77"/>
    <row r="557" ht="15.75" customHeight="1" s="77"/>
    <row r="558" ht="15.75" customHeight="1" s="77"/>
    <row r="559" ht="15.75" customHeight="1" s="77"/>
    <row r="560" ht="15.75" customHeight="1" s="77"/>
    <row r="561" ht="15.75" customHeight="1" s="77"/>
    <row r="562" ht="15.75" customHeight="1" s="77"/>
    <row r="563" ht="15.75" customHeight="1" s="77"/>
    <row r="564" ht="15.75" customHeight="1" s="77"/>
    <row r="565" ht="15.75" customHeight="1" s="77"/>
    <row r="566" ht="15.75" customHeight="1" s="77"/>
    <row r="567" ht="15.75" customHeight="1" s="77"/>
    <row r="568" ht="15.75" customHeight="1" s="77"/>
    <row r="569" ht="15.75" customHeight="1" s="77"/>
    <row r="570" ht="15.75" customHeight="1" s="77"/>
    <row r="571" ht="15.75" customHeight="1" s="77"/>
    <row r="572" ht="15.75" customHeight="1" s="77"/>
    <row r="573" ht="15.75" customHeight="1" s="77"/>
    <row r="574" ht="15.75" customHeight="1" s="77"/>
    <row r="575" ht="15.75" customHeight="1" s="77"/>
    <row r="576" ht="15.75" customHeight="1" s="77"/>
    <row r="577" ht="15.75" customHeight="1" s="77"/>
    <row r="578" ht="15.75" customHeight="1" s="77"/>
    <row r="579" ht="15.75" customHeight="1" s="77"/>
    <row r="580" ht="15.75" customHeight="1" s="77"/>
    <row r="581" ht="15.75" customHeight="1" s="77"/>
    <row r="582" ht="15.75" customHeight="1" s="77"/>
    <row r="583" ht="15.75" customHeight="1" s="77"/>
    <row r="584" ht="15.75" customHeight="1" s="77"/>
    <row r="585" ht="15.75" customHeight="1" s="77"/>
    <row r="586" ht="15.75" customHeight="1" s="77"/>
    <row r="587" ht="15.75" customHeight="1" s="77"/>
    <row r="588" ht="15.75" customHeight="1" s="77"/>
    <row r="589" ht="15.75" customHeight="1" s="77"/>
    <row r="590" ht="15.75" customHeight="1" s="77"/>
    <row r="591" ht="15.75" customHeight="1" s="77"/>
    <row r="592" ht="15.75" customHeight="1" s="77"/>
    <row r="593" ht="15.75" customHeight="1" s="77"/>
    <row r="594" ht="15.75" customHeight="1" s="77"/>
    <row r="595" ht="15.75" customHeight="1" s="77"/>
    <row r="596" ht="15.75" customHeight="1" s="77"/>
    <row r="597" ht="15.75" customHeight="1" s="77"/>
    <row r="598" ht="15.75" customHeight="1" s="77"/>
    <row r="599" ht="15.75" customHeight="1" s="77"/>
    <row r="600" ht="15.75" customHeight="1" s="77"/>
    <row r="601" ht="15.75" customHeight="1" s="77"/>
    <row r="602" ht="15.75" customHeight="1" s="77"/>
    <row r="603" ht="15.75" customHeight="1" s="77"/>
    <row r="604" ht="15.75" customHeight="1" s="77"/>
    <row r="605" ht="15.75" customHeight="1" s="77"/>
    <row r="606" ht="15.75" customHeight="1" s="77"/>
    <row r="607" ht="15.75" customHeight="1" s="77"/>
    <row r="608" ht="15.75" customHeight="1" s="77"/>
    <row r="609" ht="15.75" customHeight="1" s="77"/>
    <row r="610" ht="15.75" customHeight="1" s="77"/>
    <row r="611" ht="15.75" customHeight="1" s="77"/>
    <row r="612" ht="15.75" customHeight="1" s="77"/>
    <row r="613" ht="15.75" customHeight="1" s="77"/>
    <row r="614" ht="15.75" customHeight="1" s="77"/>
    <row r="615" ht="15.75" customHeight="1" s="77"/>
    <row r="616" ht="15.75" customHeight="1" s="77"/>
    <row r="617" ht="15.75" customHeight="1" s="77"/>
    <row r="618" ht="15.75" customHeight="1" s="77"/>
    <row r="619" ht="15.75" customHeight="1" s="77"/>
    <row r="620" ht="15.75" customHeight="1" s="77"/>
    <row r="621" ht="15.75" customHeight="1" s="77"/>
    <row r="622" ht="15.75" customHeight="1" s="77"/>
    <row r="623" ht="15.75" customHeight="1" s="77"/>
    <row r="624" ht="15.75" customHeight="1" s="77"/>
    <row r="625" ht="15.75" customHeight="1" s="77"/>
    <row r="626" ht="15.75" customHeight="1" s="77"/>
    <row r="627" ht="15.75" customHeight="1" s="77"/>
    <row r="628" ht="15.75" customHeight="1" s="77"/>
    <row r="629" ht="15.75" customHeight="1" s="77"/>
    <row r="630" ht="15.75" customHeight="1" s="77"/>
    <row r="631" ht="15.75" customHeight="1" s="77"/>
    <row r="632" ht="15.75" customHeight="1" s="77"/>
    <row r="633" ht="15.75" customHeight="1" s="77"/>
    <row r="634" ht="15.75" customHeight="1" s="77"/>
    <row r="635" ht="15.75" customHeight="1" s="77"/>
    <row r="636" ht="15.75" customHeight="1" s="77"/>
    <row r="637" ht="15.75" customHeight="1" s="77"/>
    <row r="638" ht="15.75" customHeight="1" s="77"/>
    <row r="639" ht="15.75" customHeight="1" s="77"/>
    <row r="640" ht="15.75" customHeight="1" s="77"/>
    <row r="641" ht="15.75" customHeight="1" s="77"/>
    <row r="642" ht="15.75" customHeight="1" s="77"/>
    <row r="643" ht="15.75" customHeight="1" s="77"/>
    <row r="644" ht="15.75" customHeight="1" s="77"/>
    <row r="645" ht="15.75" customHeight="1" s="77"/>
    <row r="646" ht="15.75" customHeight="1" s="77"/>
    <row r="647" ht="15.75" customHeight="1" s="77"/>
    <row r="648" ht="15.75" customHeight="1" s="77"/>
    <row r="649" ht="15.75" customHeight="1" s="77"/>
    <row r="650" ht="15.75" customHeight="1" s="77"/>
    <row r="651" ht="15.75" customHeight="1" s="77"/>
    <row r="652" ht="15.75" customHeight="1" s="77"/>
    <row r="653" ht="15.75" customHeight="1" s="77"/>
    <row r="654" ht="15.75" customHeight="1" s="77"/>
    <row r="655" ht="15.75" customHeight="1" s="77"/>
    <row r="656" ht="15.75" customHeight="1" s="77"/>
    <row r="657" ht="15.75" customHeight="1" s="77"/>
    <row r="658" ht="15.75" customHeight="1" s="77"/>
    <row r="659" ht="15.75" customHeight="1" s="77"/>
    <row r="660" ht="15.75" customHeight="1" s="77"/>
    <row r="661" ht="15.75" customHeight="1" s="77"/>
    <row r="662" ht="15.75" customHeight="1" s="77"/>
    <row r="663" ht="15.75" customHeight="1" s="77"/>
    <row r="664" ht="15.75" customHeight="1" s="77"/>
    <row r="665" ht="15.75" customHeight="1" s="77"/>
    <row r="666" ht="15.75" customHeight="1" s="77"/>
    <row r="667" ht="15.75" customHeight="1" s="77"/>
    <row r="668" ht="15.75" customHeight="1" s="77"/>
    <row r="669" ht="15.75" customHeight="1" s="77"/>
    <row r="670" ht="15.75" customHeight="1" s="77"/>
    <row r="671" ht="15.75" customHeight="1" s="77"/>
    <row r="672" ht="15.75" customHeight="1" s="77"/>
    <row r="673" ht="15.75" customHeight="1" s="77"/>
    <row r="674" ht="15.75" customHeight="1" s="77"/>
    <row r="675" ht="15.75" customHeight="1" s="77"/>
    <row r="676" ht="15.75" customHeight="1" s="77"/>
    <row r="677" ht="15.75" customHeight="1" s="77"/>
    <row r="678" ht="15.75" customHeight="1" s="77"/>
    <row r="679" ht="15.75" customHeight="1" s="77"/>
    <row r="680" ht="15.75" customHeight="1" s="77"/>
    <row r="681" ht="15.75" customHeight="1" s="77"/>
    <row r="682" ht="15.75" customHeight="1" s="77"/>
    <row r="683" ht="15.75" customHeight="1" s="77"/>
    <row r="684" ht="15.75" customHeight="1" s="77"/>
    <row r="685" ht="15.75" customHeight="1" s="77"/>
    <row r="686" ht="15.75" customHeight="1" s="77"/>
    <row r="687" ht="15.75" customHeight="1" s="77"/>
    <row r="688" ht="15.75" customHeight="1" s="77"/>
    <row r="689" ht="15.75" customHeight="1" s="77"/>
    <row r="690" ht="15.75" customHeight="1" s="77"/>
    <row r="691" ht="15.75" customHeight="1" s="77"/>
    <row r="692" ht="15.75" customHeight="1" s="77"/>
    <row r="693" ht="15.75" customHeight="1" s="77"/>
    <row r="694" ht="15.75" customHeight="1" s="77"/>
    <row r="695" ht="15.75" customHeight="1" s="77"/>
    <row r="696" ht="15.75" customHeight="1" s="77"/>
    <row r="697" ht="15.75" customHeight="1" s="77"/>
    <row r="698" ht="15.75" customHeight="1" s="77"/>
    <row r="699" ht="15.75" customHeight="1" s="77"/>
    <row r="700" ht="15.75" customHeight="1" s="77"/>
    <row r="701" ht="15.75" customHeight="1" s="77"/>
    <row r="702" ht="15.75" customHeight="1" s="77"/>
    <row r="703" ht="15.75" customHeight="1" s="77"/>
    <row r="704" ht="15.75" customHeight="1" s="77"/>
    <row r="705" ht="15.75" customHeight="1" s="77"/>
    <row r="706" ht="15.75" customHeight="1" s="77"/>
    <row r="707" ht="15.75" customHeight="1" s="77"/>
    <row r="708" ht="15.75" customHeight="1" s="77"/>
    <row r="709" ht="15.75" customHeight="1" s="77"/>
    <row r="710" ht="15.75" customHeight="1" s="77"/>
    <row r="711" ht="15.75" customHeight="1" s="77"/>
    <row r="712" ht="15.75" customHeight="1" s="77"/>
    <row r="713" ht="15.75" customHeight="1" s="77"/>
    <row r="714" ht="15.75" customHeight="1" s="77"/>
    <row r="715" ht="15.75" customHeight="1" s="77"/>
    <row r="716" ht="15.75" customHeight="1" s="77"/>
    <row r="717" ht="15.75" customHeight="1" s="77"/>
    <row r="718" ht="15.75" customHeight="1" s="77"/>
    <row r="719" ht="15.75" customHeight="1" s="77"/>
    <row r="720" ht="15.75" customHeight="1" s="77"/>
    <row r="721" ht="15.75" customHeight="1" s="77"/>
    <row r="722" ht="15.75" customHeight="1" s="77"/>
    <row r="723" ht="15.75" customHeight="1" s="77"/>
    <row r="724" ht="15.75" customHeight="1" s="77"/>
    <row r="725" ht="15.75" customHeight="1" s="77"/>
    <row r="726" ht="15.75" customHeight="1" s="77"/>
    <row r="727" ht="15.75" customHeight="1" s="77"/>
    <row r="728" ht="15.75" customHeight="1" s="77"/>
    <row r="729" ht="15.75" customHeight="1" s="77"/>
    <row r="730" ht="15.75" customHeight="1" s="77"/>
    <row r="731" ht="15.75" customHeight="1" s="77"/>
    <row r="732" ht="15.75" customHeight="1" s="77"/>
    <row r="733" ht="15.75" customHeight="1" s="77"/>
    <row r="734" ht="15.75" customHeight="1" s="77"/>
    <row r="735" ht="15.75" customHeight="1" s="77"/>
    <row r="736" ht="15.75" customHeight="1" s="77"/>
    <row r="737" ht="15.75" customHeight="1" s="77"/>
    <row r="738" ht="15.75" customHeight="1" s="77"/>
    <row r="739" ht="15.75" customHeight="1" s="77"/>
    <row r="740" ht="15.75" customHeight="1" s="77"/>
    <row r="741" ht="15.75" customHeight="1" s="77"/>
    <row r="742" ht="15.75" customHeight="1" s="77"/>
    <row r="743" ht="15.75" customHeight="1" s="77"/>
    <row r="744" ht="15.75" customHeight="1" s="77"/>
    <row r="745" ht="15.75" customHeight="1" s="77"/>
    <row r="746" ht="15.75" customHeight="1" s="77"/>
    <row r="747" ht="15.75" customHeight="1" s="77"/>
    <row r="748" ht="15.75" customHeight="1" s="77"/>
    <row r="749" ht="15.75" customHeight="1" s="77"/>
    <row r="750" ht="15.75" customHeight="1" s="77"/>
    <row r="751" ht="15.75" customHeight="1" s="77"/>
    <row r="752" ht="15.75" customHeight="1" s="77"/>
    <row r="753" ht="15.75" customHeight="1" s="77"/>
    <row r="754" ht="15.75" customHeight="1" s="77"/>
    <row r="755" ht="15.75" customHeight="1" s="77"/>
    <row r="756" ht="15.75" customHeight="1" s="77"/>
    <row r="757" ht="15.75" customHeight="1" s="77"/>
    <row r="758" ht="15.75" customHeight="1" s="77"/>
    <row r="759" ht="15.75" customHeight="1" s="77"/>
    <row r="760" ht="15.75" customHeight="1" s="77"/>
    <row r="761" ht="15.75" customHeight="1" s="77"/>
    <row r="762" ht="15.75" customHeight="1" s="77"/>
    <row r="763" ht="15.75" customHeight="1" s="77"/>
    <row r="764" ht="15.75" customHeight="1" s="77"/>
    <row r="765" ht="15.75" customHeight="1" s="77"/>
    <row r="766" ht="15.75" customHeight="1" s="77"/>
    <row r="767" ht="15.75" customHeight="1" s="77"/>
    <row r="768" ht="15.75" customHeight="1" s="77"/>
    <row r="769" ht="15.75" customHeight="1" s="77"/>
    <row r="770" ht="15.75" customHeight="1" s="77"/>
    <row r="771" ht="15.75" customHeight="1" s="77"/>
    <row r="772" ht="15.75" customHeight="1" s="77"/>
    <row r="773" ht="15.75" customHeight="1" s="77"/>
    <row r="774" ht="15.75" customHeight="1" s="77"/>
    <row r="775" ht="15.75" customHeight="1" s="77"/>
    <row r="776" ht="15.75" customHeight="1" s="77"/>
    <row r="777" ht="15.75" customHeight="1" s="77"/>
    <row r="778" ht="15.75" customHeight="1" s="77"/>
    <row r="779" ht="15.75" customHeight="1" s="77"/>
    <row r="780" ht="15.75" customHeight="1" s="77"/>
    <row r="781" ht="15.75" customHeight="1" s="77"/>
    <row r="782" ht="15.75" customHeight="1" s="77"/>
    <row r="783" ht="15.75" customHeight="1" s="77"/>
    <row r="784" ht="15.75" customHeight="1" s="77"/>
    <row r="785" ht="15.75" customHeight="1" s="77"/>
    <row r="786" ht="15.75" customHeight="1" s="77"/>
    <row r="787" ht="15.75" customHeight="1" s="77"/>
    <row r="788" ht="15.75" customHeight="1" s="77"/>
    <row r="789" ht="15.75" customHeight="1" s="77"/>
    <row r="790" ht="15.75" customHeight="1" s="77"/>
    <row r="791" ht="15.75" customHeight="1" s="77"/>
    <row r="792" ht="15.75" customHeight="1" s="77"/>
    <row r="793" ht="15.75" customHeight="1" s="77"/>
    <row r="794" ht="15.75" customHeight="1" s="77"/>
    <row r="795" ht="15.75" customHeight="1" s="77"/>
    <row r="796" ht="15.75" customHeight="1" s="77"/>
    <row r="797" ht="15.75" customHeight="1" s="77"/>
    <row r="798" ht="15.75" customHeight="1" s="77"/>
    <row r="799" ht="15.75" customHeight="1" s="77"/>
    <row r="800" ht="15.75" customHeight="1" s="77"/>
    <row r="801" ht="15.75" customHeight="1" s="77"/>
    <row r="802" ht="15.75" customHeight="1" s="77"/>
    <row r="803" ht="15.75" customHeight="1" s="77"/>
    <row r="804" ht="15.75" customHeight="1" s="77"/>
    <row r="805" ht="15.75" customHeight="1" s="77"/>
    <row r="806" ht="15.75" customHeight="1" s="77"/>
    <row r="807" ht="15.75" customHeight="1" s="77"/>
    <row r="808" ht="15.75" customHeight="1" s="77"/>
    <row r="809" ht="15.75" customHeight="1" s="77"/>
    <row r="810" ht="15.75" customHeight="1" s="77"/>
    <row r="811" ht="15.75" customHeight="1" s="77"/>
    <row r="812" ht="15.75" customHeight="1" s="77"/>
    <row r="813" ht="15.75" customHeight="1" s="77"/>
    <row r="814" ht="15.75" customHeight="1" s="77"/>
    <row r="815" ht="15.75" customHeight="1" s="77"/>
    <row r="816" ht="15.75" customHeight="1" s="77"/>
    <row r="817" ht="15.75" customHeight="1" s="77"/>
    <row r="818" ht="15.75" customHeight="1" s="77"/>
    <row r="819" ht="15.75" customHeight="1" s="77"/>
    <row r="820" ht="15.75" customHeight="1" s="77"/>
    <row r="821" ht="15.75" customHeight="1" s="77"/>
    <row r="822" ht="15.75" customHeight="1" s="77"/>
    <row r="823" ht="15.75" customHeight="1" s="77"/>
    <row r="824" ht="15.75" customHeight="1" s="77"/>
    <row r="825" ht="15.75" customHeight="1" s="77"/>
    <row r="826" ht="15.75" customHeight="1" s="77"/>
    <row r="827" ht="15.75" customHeight="1" s="77"/>
    <row r="828" ht="15.75" customHeight="1" s="77"/>
    <row r="829" ht="15.75" customHeight="1" s="77"/>
    <row r="830" ht="15.75" customHeight="1" s="77"/>
    <row r="831" ht="15.75" customHeight="1" s="77"/>
    <row r="832" ht="15.75" customHeight="1" s="77"/>
    <row r="833" ht="15.75" customHeight="1" s="77"/>
    <row r="834" ht="15.75" customHeight="1" s="77"/>
    <row r="835" ht="15.75" customHeight="1" s="77"/>
    <row r="836" ht="15.75" customHeight="1" s="77"/>
    <row r="837" ht="15.75" customHeight="1" s="77"/>
    <row r="838" ht="15.75" customHeight="1" s="77"/>
    <row r="839" ht="15.75" customHeight="1" s="77"/>
    <row r="840" ht="15.75" customHeight="1" s="77"/>
    <row r="841" ht="15.75" customHeight="1" s="77"/>
    <row r="842" ht="15.75" customHeight="1" s="77"/>
    <row r="843" ht="15.75" customHeight="1" s="77"/>
    <row r="844" ht="15.75" customHeight="1" s="77"/>
    <row r="845" ht="15.75" customHeight="1" s="77"/>
    <row r="846" ht="15.75" customHeight="1" s="77"/>
    <row r="847" ht="15.75" customHeight="1" s="77"/>
    <row r="848" ht="15.75" customHeight="1" s="77"/>
    <row r="849" ht="15.75" customHeight="1" s="77"/>
    <row r="850" ht="15.75" customHeight="1" s="77"/>
    <row r="851" ht="15.75" customHeight="1" s="77"/>
    <row r="852" ht="15.75" customHeight="1" s="77"/>
    <row r="853" ht="15.75" customHeight="1" s="77"/>
    <row r="854" ht="15.75" customHeight="1" s="77"/>
    <row r="855" ht="15.75" customHeight="1" s="77"/>
    <row r="856" ht="15.75" customHeight="1" s="77"/>
    <row r="857" ht="15.75" customHeight="1" s="77"/>
    <row r="858" ht="15.75" customHeight="1" s="77"/>
    <row r="859" ht="15.75" customHeight="1" s="77"/>
    <row r="860" ht="15.75" customHeight="1" s="77"/>
    <row r="861" ht="15.75" customHeight="1" s="77"/>
    <row r="862" ht="15.75" customHeight="1" s="77"/>
    <row r="863" ht="15.75" customHeight="1" s="77"/>
    <row r="864" ht="15.75" customHeight="1" s="77"/>
    <row r="865" ht="15.75" customHeight="1" s="77"/>
    <row r="866" ht="15.75" customHeight="1" s="77"/>
    <row r="867" ht="15.75" customHeight="1" s="77"/>
    <row r="868" ht="15.75" customHeight="1" s="77"/>
    <row r="869" ht="15.75" customHeight="1" s="77"/>
    <row r="870" ht="15.75" customHeight="1" s="77"/>
    <row r="871" ht="15.75" customHeight="1" s="77"/>
    <row r="872" ht="15.75" customHeight="1" s="77"/>
    <row r="873" ht="15.75" customHeight="1" s="77"/>
    <row r="874" ht="15.75" customHeight="1" s="77"/>
    <row r="875" ht="15.75" customHeight="1" s="77"/>
    <row r="876" ht="15.75" customHeight="1" s="77"/>
    <row r="877" ht="15.75" customHeight="1" s="77"/>
    <row r="878" ht="15.75" customHeight="1" s="77"/>
    <row r="879" ht="15.75" customHeight="1" s="77"/>
    <row r="880" ht="15.75" customHeight="1" s="77"/>
    <row r="881" ht="15.75" customHeight="1" s="77"/>
    <row r="882" ht="15.75" customHeight="1" s="77"/>
    <row r="883" ht="15.75" customHeight="1" s="77"/>
    <row r="884" ht="15.75" customHeight="1" s="77"/>
    <row r="885" ht="15.75" customHeight="1" s="77"/>
    <row r="886" ht="15.75" customHeight="1" s="77"/>
    <row r="887" ht="15.75" customHeight="1" s="77"/>
    <row r="888" ht="15.75" customHeight="1" s="77"/>
    <row r="889" ht="15.75" customHeight="1" s="77"/>
    <row r="890" ht="15.75" customHeight="1" s="77"/>
    <row r="891" ht="15.75" customHeight="1" s="77"/>
    <row r="892" ht="15.75" customHeight="1" s="77"/>
    <row r="893" ht="15.75" customHeight="1" s="77"/>
    <row r="894" ht="15.75" customHeight="1" s="77"/>
    <row r="895" ht="15.75" customHeight="1" s="77"/>
    <row r="896" ht="15.75" customHeight="1" s="77"/>
    <row r="897" ht="15.75" customHeight="1" s="77"/>
    <row r="898" ht="15.75" customHeight="1" s="77"/>
    <row r="899" ht="15.75" customHeight="1" s="77"/>
    <row r="900" ht="15.75" customHeight="1" s="77"/>
    <row r="901" ht="15.75" customHeight="1" s="77"/>
    <row r="902" ht="15.75" customHeight="1" s="77"/>
    <row r="903" ht="15.75" customHeight="1" s="77"/>
    <row r="904" ht="15.75" customHeight="1" s="77"/>
    <row r="905" ht="15.75" customHeight="1" s="77"/>
    <row r="906" ht="15.75" customHeight="1" s="77"/>
    <row r="907" ht="15.75" customHeight="1" s="77"/>
    <row r="908" ht="15.75" customHeight="1" s="77"/>
    <row r="909" ht="15.75" customHeight="1" s="77"/>
    <row r="910" ht="15.75" customHeight="1" s="77"/>
    <row r="911" ht="15.75" customHeight="1" s="77"/>
    <row r="912" ht="15.75" customHeight="1" s="77"/>
    <row r="913" ht="15.75" customHeight="1" s="77"/>
    <row r="914" ht="15.75" customHeight="1" s="77"/>
    <row r="915" ht="15.75" customHeight="1" s="77"/>
    <row r="916" ht="15.75" customHeight="1" s="77"/>
    <row r="917" ht="15.75" customHeight="1" s="77"/>
    <row r="918" ht="15.75" customHeight="1" s="77"/>
    <row r="919" ht="15.75" customHeight="1" s="77"/>
    <row r="920" ht="15.75" customHeight="1" s="77"/>
    <row r="921" ht="15.75" customHeight="1" s="77"/>
    <row r="922" ht="15.75" customHeight="1" s="77"/>
    <row r="923" ht="15.75" customHeight="1" s="77"/>
    <row r="924" ht="15.75" customHeight="1" s="77"/>
    <row r="925" ht="15.75" customHeight="1" s="77"/>
    <row r="926" ht="15.75" customHeight="1" s="77"/>
    <row r="927" ht="15.75" customHeight="1" s="77"/>
    <row r="928" ht="15.75" customHeight="1" s="77"/>
    <row r="929" ht="15.75" customHeight="1" s="77"/>
    <row r="930" ht="15.75" customHeight="1" s="77"/>
    <row r="931" ht="15.75" customHeight="1" s="77"/>
    <row r="932" ht="15.75" customHeight="1" s="77"/>
    <row r="933" ht="15.75" customHeight="1" s="77"/>
    <row r="934" ht="15.75" customHeight="1" s="77"/>
    <row r="935" ht="15.75" customHeight="1" s="77"/>
    <row r="936" ht="15.75" customHeight="1" s="77"/>
    <row r="937" ht="15.75" customHeight="1" s="77"/>
    <row r="938" ht="15.75" customHeight="1" s="77"/>
    <row r="939" ht="15.75" customHeight="1" s="77"/>
    <row r="940" ht="15.75" customHeight="1" s="77"/>
    <row r="941" ht="15.75" customHeight="1" s="77"/>
    <row r="942" ht="15.75" customHeight="1" s="77"/>
    <row r="943" ht="15.75" customHeight="1" s="77"/>
    <row r="944" ht="15.75" customHeight="1" s="77"/>
    <row r="945" ht="15.75" customHeight="1" s="77"/>
    <row r="946" ht="15.75" customHeight="1" s="77"/>
    <row r="947" ht="15.75" customHeight="1" s="77"/>
    <row r="948" ht="15.75" customHeight="1" s="77"/>
    <row r="949" ht="15.75" customHeight="1" s="77"/>
    <row r="950" ht="15.75" customHeight="1" s="77"/>
    <row r="951" ht="15.75" customHeight="1" s="77"/>
    <row r="952" ht="15.75" customHeight="1" s="77"/>
    <row r="953" ht="15.75" customHeight="1" s="77"/>
    <row r="954" ht="15.75" customHeight="1" s="77"/>
    <row r="955" ht="15.75" customHeight="1" s="77"/>
    <row r="956" ht="15.75" customHeight="1" s="77"/>
    <row r="957" ht="15.75" customHeight="1" s="77"/>
    <row r="958" ht="15.75" customHeight="1" s="77"/>
    <row r="959" ht="15.75" customHeight="1" s="77"/>
    <row r="960" ht="15.75" customHeight="1" s="77"/>
    <row r="961" ht="15.75" customHeight="1" s="77"/>
    <row r="962" ht="15.75" customHeight="1" s="77"/>
    <row r="963" ht="15.75" customHeight="1" s="77"/>
    <row r="964" ht="15.75" customHeight="1" s="77"/>
    <row r="965" ht="15.75" customHeight="1" s="77"/>
    <row r="966" ht="15.75" customHeight="1" s="77"/>
    <row r="967" ht="15.75" customHeight="1" s="77"/>
    <row r="968" ht="15.75" customHeight="1" s="77"/>
    <row r="969" ht="15.75" customHeight="1" s="77"/>
    <row r="970" ht="15.75" customHeight="1" s="77"/>
    <row r="971" ht="15.75" customHeight="1" s="77"/>
    <row r="972" ht="15.75" customHeight="1" s="77"/>
    <row r="973" ht="15.75" customHeight="1" s="77"/>
    <row r="974" ht="15.75" customHeight="1" s="77"/>
    <row r="975" ht="15.75" customHeight="1" s="77"/>
    <row r="976" ht="15.75" customHeight="1" s="77"/>
    <row r="977" ht="15.75" customHeight="1" s="77"/>
    <row r="978" ht="15.75" customHeight="1" s="77"/>
    <row r="979" ht="15.75" customHeight="1" s="77"/>
    <row r="980" ht="15.75" customHeight="1" s="77"/>
    <row r="981" ht="15.75" customHeight="1" s="77"/>
    <row r="982" ht="15.75" customHeight="1" s="77"/>
    <row r="983" ht="15.75" customHeight="1" s="77"/>
    <row r="984" ht="15.75" customHeight="1" s="77"/>
    <row r="985" ht="15.75" customHeight="1" s="77"/>
    <row r="986" ht="15.75" customHeight="1" s="77"/>
    <row r="987" ht="15.75" customHeight="1" s="77"/>
    <row r="988" ht="15.75" customHeight="1" s="77"/>
    <row r="989" ht="15.75" customHeight="1" s="77"/>
    <row r="990" ht="15.75" customHeight="1" s="77"/>
    <row r="991" ht="15.75" customHeight="1" s="77"/>
    <row r="992" ht="15.75" customHeight="1" s="77"/>
    <row r="993" ht="15.75" customHeight="1" s="77"/>
    <row r="994" ht="15.75" customHeight="1" s="77"/>
    <row r="995" ht="15.75" customHeight="1" s="77"/>
    <row r="996" ht="15.75" customHeight="1" s="77"/>
    <row r="997" ht="15.75" customHeight="1" s="77"/>
    <row r="998" ht="15.75" customHeight="1" s="77"/>
    <row r="999" ht="15.75" customHeight="1" s="77"/>
    <row r="1000" ht="15.75" customHeight="1" s="77"/>
  </sheetData>
  <mergeCells count="12">
    <mergeCell ref="O40:AA40"/>
    <mergeCell ref="A34:E34"/>
    <mergeCell ref="A1:G1"/>
    <mergeCell ref="AO40:BA40"/>
    <mergeCell ref="BB40:BN40"/>
    <mergeCell ref="A3:G3"/>
    <mergeCell ref="A37:BI37"/>
    <mergeCell ref="A12:G12"/>
    <mergeCell ref="B40:N40"/>
    <mergeCell ref="A50:BI50"/>
    <mergeCell ref="A38:BI38"/>
    <mergeCell ref="AB40:AN40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91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77" min="1" max="1"/>
    <col width="22.43" customWidth="1" style="77" min="2" max="2"/>
    <col width="10" customWidth="1" style="77" min="3" max="3"/>
    <col width="13.14" customWidth="1" style="77" min="4" max="4"/>
    <col width="10" customWidth="1" style="77" min="5" max="66"/>
  </cols>
  <sheetData>
    <row r="1" ht="30" customHeight="1" s="77">
      <c r="A1" s="87" t="inlineStr">
        <is>
          <t>6️⃣ STRUCTURE DES COÛTS (HORS RH)</t>
        </is>
      </c>
    </row>
    <row r="3">
      <c r="A3" s="80" t="inlineStr">
        <is>
          <t>💡 Renseignez vos coûts fixes et variables hors ressources humaines.</t>
        </is>
      </c>
    </row>
    <row r="5">
      <c r="A5" s="81" t="inlineStr">
        <is>
          <t>🧮 COÛTS VARIABLES (liés au volume d'activité)</t>
        </is>
      </c>
    </row>
    <row r="7">
      <c r="A7" s="28" t="inlineStr">
        <is>
          <t>#</t>
        </is>
      </c>
      <c r="B7" s="28" t="inlineStr">
        <is>
          <t>Poste de coût variable</t>
        </is>
      </c>
      <c r="C7" s="28" t="inlineStr">
        <is>
          <t>Unité</t>
        </is>
      </c>
      <c r="D7" s="28" t="inlineStr">
        <is>
          <t>Coût Unitaire</t>
        </is>
      </c>
      <c r="E7" s="28" t="n"/>
      <c r="F7" s="28" t="n"/>
      <c r="G7" s="28" t="n"/>
      <c r="H7" s="28" t="n"/>
    </row>
    <row r="8">
      <c r="A8" s="58" t="n">
        <v>1</v>
      </c>
      <c r="B8" s="58" t="inlineStr">
        <is>
          <t>Intrants agricoles (semences, engrais)</t>
        </is>
      </c>
      <c r="C8" s="58" t="inlineStr">
        <is>
          <t>XOF/kg</t>
        </is>
      </c>
      <c r="D8" s="59" t="n">
        <v>500</v>
      </c>
      <c r="E8" s="59" t="n"/>
      <c r="F8" s="59" t="n"/>
      <c r="G8" s="59" t="n"/>
      <c r="H8" s="58" t="n"/>
    </row>
    <row r="9">
      <c r="A9" s="58" t="n">
        <v>2</v>
      </c>
      <c r="B9" s="58" t="inlineStr">
        <is>
          <t>Transport / logistique</t>
        </is>
      </c>
      <c r="C9" s="58" t="inlineStr">
        <is>
          <t>XOF/tonne</t>
        </is>
      </c>
      <c r="D9" s="59" t="n">
        <v>10000</v>
      </c>
      <c r="E9" s="59" t="n"/>
      <c r="F9" s="59" t="n"/>
      <c r="G9" s="59" t="n"/>
      <c r="H9" s="58" t="n"/>
    </row>
    <row r="10">
      <c r="A10" s="58" t="n">
        <v>3</v>
      </c>
      <c r="B10" s="58" t="inlineStr">
        <is>
          <t>Emballage</t>
        </is>
      </c>
      <c r="C10" s="58" t="inlineStr">
        <is>
          <t>XOF/unité</t>
        </is>
      </c>
      <c r="D10" s="59" t="n">
        <v>50</v>
      </c>
      <c r="E10" s="59" t="n"/>
      <c r="F10" s="59" t="n"/>
      <c r="G10" s="59" t="n"/>
      <c r="H10" s="58" t="n"/>
    </row>
    <row r="11">
      <c r="A11" s="81" t="inlineStr">
        <is>
          <t>👇 VOS COÛTS VARIABLES</t>
        </is>
      </c>
    </row>
    <row r="12">
      <c r="A12" s="35" t="n">
        <v>1</v>
      </c>
      <c r="B12" s="15" t="inlineStr">
        <is>
          <t>Achat plastique collecteurs</t>
        </is>
      </c>
      <c r="C12" s="15" t="inlineStr">
        <is>
          <t>XOF/kg</t>
        </is>
      </c>
      <c r="D12" s="60" t="n">
        <v>40</v>
      </c>
      <c r="E12" s="39" t="n"/>
      <c r="F12" s="39">
        <f>IF(AND(D12&lt;&gt;0,E12&lt;&gt;0),D12*E12,"")</f>
        <v/>
      </c>
      <c r="G12" s="39" t="n"/>
    </row>
    <row r="13">
      <c r="A13" s="35" t="n">
        <v>2</v>
      </c>
      <c r="B13" s="15" t="inlineStr">
        <is>
          <t>Énergie transformation (gaz)</t>
        </is>
      </c>
      <c r="C13" s="15" t="inlineStr">
        <is>
          <t>XOF/brique</t>
        </is>
      </c>
      <c r="D13" s="60" t="n">
        <v>15</v>
      </c>
      <c r="E13" s="39" t="n"/>
      <c r="F13" s="39">
        <f>IF(AND(D13&lt;&gt;0,E13&lt;&gt;0),D13*E13,"")</f>
        <v/>
      </c>
      <c r="G13" s="39" t="n"/>
    </row>
    <row r="14">
      <c r="A14" s="35" t="n">
        <v>3</v>
      </c>
      <c r="B14" s="15" t="inlineStr">
        <is>
          <t>Emballage/conditionnement</t>
        </is>
      </c>
      <c r="C14" s="15" t="inlineStr">
        <is>
          <t>XOF/brique</t>
        </is>
      </c>
      <c r="D14" s="60" t="n">
        <v>5</v>
      </c>
      <c r="E14" s="39" t="n"/>
      <c r="F14" s="39">
        <f>IF(AND(D14&lt;&gt;0,E14&lt;&gt;0),D14*E14,"")</f>
        <v/>
      </c>
      <c r="G14" s="39" t="n"/>
    </row>
    <row r="15">
      <c r="A15" s="35" t="n">
        <v>4</v>
      </c>
      <c r="B15" s="15" t="inlineStr">
        <is>
          <t>Transport/livraison</t>
        </is>
      </c>
      <c r="C15" s="15" t="inlineStr">
        <is>
          <t>XOF/m³</t>
        </is>
      </c>
      <c r="D15" s="60" t="n">
        <v>3000</v>
      </c>
      <c r="E15" s="39" t="n"/>
      <c r="F15" s="39">
        <f>IF(AND(D15&lt;&gt;0,E15&lt;&gt;0),D15*E15,"")</f>
        <v/>
      </c>
      <c r="G15" s="39" t="n"/>
    </row>
    <row r="16">
      <c r="A16" s="35" t="n">
        <v>5</v>
      </c>
      <c r="B16" s="15" t="inlineStr">
        <is>
          <t>Maintenance outillage</t>
        </is>
      </c>
      <c r="C16" s="15" t="inlineStr">
        <is>
          <t>XOF/mois</t>
        </is>
      </c>
      <c r="D16" s="60" t="n">
        <v>200000</v>
      </c>
      <c r="E16" s="39" t="n"/>
      <c r="F16" s="39">
        <f>IF(AND(D16&lt;&gt;0,E16&lt;&gt;0),D16*E16,"")</f>
        <v/>
      </c>
      <c r="G16" s="39" t="n"/>
    </row>
    <row r="17">
      <c r="A17" s="35" t="n">
        <v>6</v>
      </c>
      <c r="B17" s="15" t="inlineStr">
        <is>
          <t>Consommables production</t>
        </is>
      </c>
      <c r="C17" s="15" t="inlineStr">
        <is>
          <t>XOF/mois</t>
        </is>
      </c>
      <c r="D17" s="60" t="n">
        <v>150000</v>
      </c>
      <c r="E17" s="39" t="n"/>
      <c r="F17" s="39">
        <f>IF(AND(D17&lt;&gt;0,E17&lt;&gt;0),D17*E17,"")</f>
        <v/>
      </c>
      <c r="G17" s="39" t="n"/>
    </row>
    <row r="18">
      <c r="A18" s="35" t="n">
        <v>7</v>
      </c>
      <c r="B18" s="15" t="n"/>
      <c r="C18" s="15" t="n"/>
      <c r="D18" s="60" t="n"/>
      <c r="E18" s="39" t="n"/>
      <c r="F18" s="39">
        <f>IF(AND(D18&lt;&gt;0,E18&lt;&gt;0),D18*E18,"")</f>
        <v/>
      </c>
      <c r="G18" s="39" t="n"/>
    </row>
    <row r="19">
      <c r="A19" s="35" t="n">
        <v>8</v>
      </c>
      <c r="B19" s="15" t="n"/>
      <c r="C19" s="15" t="n"/>
      <c r="D19" s="60" t="n"/>
      <c r="E19" s="39" t="n"/>
      <c r="F19" s="39">
        <f>IF(AND(D19&lt;&gt;0,E19&lt;&gt;0),D19*E19,"")</f>
        <v/>
      </c>
      <c r="G19" s="39" t="n"/>
    </row>
    <row r="20">
      <c r="A20" s="35" t="n">
        <v>9</v>
      </c>
      <c r="B20" s="15" t="n"/>
      <c r="C20" s="15" t="n"/>
      <c r="D20" s="60" t="n"/>
      <c r="E20" s="39" t="n"/>
      <c r="F20" s="39">
        <f>IF(AND(D20&lt;&gt;0,E20&lt;&gt;0),D20*E20,"")</f>
        <v/>
      </c>
      <c r="G20" s="39" t="n"/>
    </row>
    <row r="21" ht="15.75" customHeight="1" s="77">
      <c r="A21" s="35" t="n">
        <v>10</v>
      </c>
      <c r="B21" s="15" t="n"/>
      <c r="C21" s="15" t="n"/>
      <c r="D21" s="60" t="n"/>
      <c r="E21" s="39" t="n"/>
      <c r="F21" s="39">
        <f>IF(AND(D21&lt;&gt;0,E21&lt;&gt;0),D21*E21,"")</f>
        <v/>
      </c>
      <c r="G21" s="39" t="n"/>
    </row>
    <row r="22" ht="15.75" customHeight="1" s="77">
      <c r="A22" s="35" t="n">
        <v>11</v>
      </c>
      <c r="B22" s="15" t="n"/>
      <c r="C22" s="15" t="n"/>
      <c r="D22" s="60" t="n"/>
      <c r="E22" s="39" t="n"/>
      <c r="F22" s="39">
        <f>IF(AND(D22&lt;&gt;0,E22&lt;&gt;0),D22*E22,"")</f>
        <v/>
      </c>
      <c r="G22" s="39" t="n"/>
    </row>
    <row r="23" ht="15.75" customHeight="1" s="77">
      <c r="A23" s="35" t="n">
        <v>12</v>
      </c>
      <c r="B23" s="15" t="n"/>
      <c r="C23" s="15" t="n"/>
      <c r="D23" s="60" t="n"/>
      <c r="E23" s="39" t="n"/>
      <c r="F23" s="39">
        <f>IF(AND(D23&lt;&gt;0,E23&lt;&gt;0),D23*E23,"")</f>
        <v/>
      </c>
      <c r="G23" s="39" t="n"/>
    </row>
    <row r="24" ht="15.75" customHeight="1" s="77">
      <c r="A24" s="35" t="n">
        <v>13</v>
      </c>
      <c r="B24" s="15" t="n"/>
      <c r="C24" s="15" t="n"/>
      <c r="D24" s="60" t="n"/>
      <c r="E24" s="39" t="n"/>
      <c r="F24" s="39">
        <f>IF(AND(D24&lt;&gt;0,E24&lt;&gt;0),D24*E24,"")</f>
        <v/>
      </c>
      <c r="G24" s="39" t="n"/>
    </row>
    <row r="25" ht="15.75" customHeight="1" s="77">
      <c r="A25" s="35" t="n">
        <v>14</v>
      </c>
      <c r="B25" s="15" t="n"/>
      <c r="C25" s="15" t="n"/>
      <c r="D25" s="60" t="n"/>
      <c r="E25" s="39" t="n"/>
      <c r="F25" s="39">
        <f>IF(AND(D25&lt;&gt;0,E25&lt;&gt;0),D25*E25,"")</f>
        <v/>
      </c>
      <c r="G25" s="39" t="n"/>
    </row>
    <row r="26" ht="15.75" customHeight="1" s="77">
      <c r="A26" s="35" t="n">
        <v>15</v>
      </c>
      <c r="B26" s="15" t="n"/>
      <c r="C26" s="15" t="n"/>
      <c r="D26" s="60" t="n"/>
      <c r="E26" s="39" t="n"/>
      <c r="F26" s="39">
        <f>IF(AND(D26&lt;&gt;0,E26&lt;&gt;0),D26*E26,"")</f>
        <v/>
      </c>
      <c r="G26" s="39" t="n"/>
    </row>
    <row r="27" ht="15.75" customHeight="1" s="77">
      <c r="E27" s="7" t="n"/>
      <c r="F27" s="42" t="n"/>
      <c r="G27" s="42" t="n"/>
    </row>
    <row r="28" ht="15.75" customHeight="1" s="77"/>
    <row r="29" ht="15.75" customHeight="1" s="77">
      <c r="A29" s="88" t="inlineStr">
        <is>
          <t>🏢 COÛTS FIXES (indépendants du volume d'activité)</t>
        </is>
      </c>
    </row>
    <row r="30" ht="15.75" customHeight="1" s="77"/>
    <row r="31" ht="15.75" customHeight="1" s="77">
      <c r="A31" s="28" t="inlineStr">
        <is>
          <t>#</t>
        </is>
      </c>
      <c r="B31" s="28" t="inlineStr">
        <is>
          <t>Poste de coût fixe</t>
        </is>
      </c>
      <c r="C31" s="28" t="inlineStr">
        <is>
          <t>Périodicité</t>
        </is>
      </c>
      <c r="D31" s="28" t="inlineStr">
        <is>
          <t>Catégorie</t>
        </is>
      </c>
      <c r="E31" s="28" t="inlineStr">
        <is>
          <t>Justification</t>
        </is>
      </c>
      <c r="F31" s="28" t="inlineStr">
        <is>
          <t>Commentaires</t>
        </is>
      </c>
      <c r="G31" s="28" t="n"/>
      <c r="H31" s="28" t="n"/>
    </row>
    <row r="32" ht="15.75" customHeight="1" s="77">
      <c r="A32" s="58" t="n">
        <v>1</v>
      </c>
      <c r="B32" s="58" t="inlineStr">
        <is>
          <t>Loyer / Location</t>
        </is>
      </c>
      <c r="C32" s="58" t="inlineStr">
        <is>
          <t>Mensuel</t>
        </is>
      </c>
      <c r="D32" s="58" t="inlineStr">
        <is>
          <t>Locaux</t>
        </is>
      </c>
      <c r="E32" s="58" t="inlineStr">
        <is>
          <t>Bail 12 mois</t>
        </is>
      </c>
      <c r="F32" s="58" t="inlineStr">
        <is>
          <t>Exemple</t>
        </is>
      </c>
      <c r="G32" s="58" t="n"/>
      <c r="H32" s="58" t="n"/>
    </row>
    <row r="33" ht="15.75" customHeight="1" s="77">
      <c r="A33" s="58" t="n">
        <v>2</v>
      </c>
      <c r="B33" s="58" t="inlineStr">
        <is>
          <t>Électricité / eau / internet</t>
        </is>
      </c>
      <c r="C33" s="58" t="inlineStr">
        <is>
          <t>Mensuel</t>
        </is>
      </c>
      <c r="D33" s="58" t="inlineStr">
        <is>
          <t>Utilities</t>
        </is>
      </c>
      <c r="E33" s="58" t="inlineStr">
        <is>
          <t>Factures moyennes</t>
        </is>
      </c>
      <c r="F33" s="58" t="inlineStr">
        <is>
          <t>Exemple</t>
        </is>
      </c>
      <c r="G33" s="58" t="n"/>
      <c r="H33" s="58" t="n"/>
    </row>
    <row r="34" ht="15.75" customHeight="1" s="77">
      <c r="A34" s="58" t="n">
        <v>3</v>
      </c>
      <c r="B34" s="58" t="inlineStr">
        <is>
          <t>Maintenance équipement</t>
        </is>
      </c>
      <c r="C34" s="58" t="inlineStr">
        <is>
          <t>Mensuel</t>
        </is>
      </c>
      <c r="D34" s="58" t="inlineStr">
        <is>
          <t>Maintenance</t>
        </is>
      </c>
      <c r="E34" s="58" t="inlineStr">
        <is>
          <t>Contrat annuel</t>
        </is>
      </c>
      <c r="F34" s="58" t="inlineStr">
        <is>
          <t>Exemple</t>
        </is>
      </c>
      <c r="G34" s="58" t="n"/>
      <c r="H34" s="58" t="n"/>
    </row>
    <row r="35" ht="15.75" customHeight="1" s="77">
      <c r="A35" s="58" t="n">
        <v>4</v>
      </c>
      <c r="B35" s="58" t="inlineStr">
        <is>
          <t>Marketing &amp; Communication</t>
        </is>
      </c>
      <c r="C35" s="58" t="inlineStr">
        <is>
          <t>Mensuel</t>
        </is>
      </c>
      <c r="D35" s="58" t="inlineStr">
        <is>
          <t>Marketing</t>
        </is>
      </c>
      <c r="E35" s="58" t="inlineStr">
        <is>
          <t>Budget mensuel</t>
        </is>
      </c>
      <c r="F35" s="58" t="inlineStr">
        <is>
          <t>Exemple</t>
        </is>
      </c>
      <c r="G35" s="58" t="n"/>
      <c r="H35" s="58" t="n"/>
    </row>
    <row r="36" ht="15.75" customHeight="1" s="77">
      <c r="A36" s="88" t="inlineStr">
        <is>
          <t>👇 VOS COÛTS FIXES</t>
        </is>
      </c>
    </row>
    <row r="37" ht="15.75" customHeight="1" s="77">
      <c r="A37" s="35" t="n">
        <v>1</v>
      </c>
      <c r="B37" s="15" t="inlineStr">
        <is>
          <t>Loyer usine Yopougon</t>
        </is>
      </c>
      <c r="C37" s="15" t="inlineStr">
        <is>
          <t>Mensuel</t>
        </is>
      </c>
      <c r="D37" s="31" t="inlineStr">
        <is>
          <t>Locaux</t>
        </is>
      </c>
      <c r="E37" s="62" t="inlineStr">
        <is>
          <t>Bail 3 ans</t>
        </is>
      </c>
      <c r="F37" s="15" t="n">
        <v>1500000</v>
      </c>
    </row>
    <row r="38" ht="15.75" customHeight="1" s="77">
      <c r="A38" s="35" t="n">
        <v>2</v>
      </c>
      <c r="B38" s="15" t="inlineStr">
        <is>
          <t>Électricité industrielle</t>
        </is>
      </c>
      <c r="C38" s="15" t="inlineStr">
        <is>
          <t>Mensuel</t>
        </is>
      </c>
      <c r="D38" s="31" t="inlineStr">
        <is>
          <t>Utilities</t>
        </is>
      </c>
      <c r="E38" s="62" t="inlineStr">
        <is>
          <t>CIE</t>
        </is>
      </c>
      <c r="F38" s="15" t="n">
        <v>850000</v>
      </c>
    </row>
    <row r="39" ht="15.75" customHeight="1" s="77">
      <c r="A39" s="35" t="n">
        <v>3</v>
      </c>
      <c r="B39" s="15" t="inlineStr">
        <is>
          <t>Eau industrielle</t>
        </is>
      </c>
      <c r="C39" s="15" t="inlineStr">
        <is>
          <t>Mensuel</t>
        </is>
      </c>
      <c r="D39" s="31" t="inlineStr">
        <is>
          <t>Utilities</t>
        </is>
      </c>
      <c r="E39" s="62" t="inlineStr">
        <is>
          <t>SODECI</t>
        </is>
      </c>
      <c r="F39" s="15" t="n">
        <v>200000</v>
      </c>
    </row>
    <row r="40" ht="15.75" customHeight="1" s="77">
      <c r="A40" s="35" t="n">
        <v>4</v>
      </c>
      <c r="B40" s="15" t="inlineStr">
        <is>
          <t>Internet/Télécom</t>
        </is>
      </c>
      <c r="C40" s="15" t="inlineStr">
        <is>
          <t>Mensuel</t>
        </is>
      </c>
      <c r="D40" s="31" t="inlineStr">
        <is>
          <t>Utilities</t>
        </is>
      </c>
      <c r="E40" s="62" t="inlineStr">
        <is>
          <t>3 lignes</t>
        </is>
      </c>
      <c r="F40" s="15" t="n">
        <v>150000</v>
      </c>
    </row>
    <row r="41" ht="15.75" customHeight="1" s="77">
      <c r="A41" s="35" t="n">
        <v>5</v>
      </c>
      <c r="B41" s="15" t="inlineStr">
        <is>
          <t>Assurance multirisque</t>
        </is>
      </c>
      <c r="C41" s="15" t="inlineStr">
        <is>
          <t>Mensuel</t>
        </is>
      </c>
      <c r="D41" s="31" t="inlineStr">
        <is>
          <t>Assurances</t>
        </is>
      </c>
      <c r="E41" s="62" t="inlineStr">
        <is>
          <t>SUNU</t>
        </is>
      </c>
      <c r="F41" s="15" t="n">
        <v>200000</v>
      </c>
    </row>
    <row r="42" ht="15.75" customHeight="1" s="77">
      <c r="A42" s="35" t="n">
        <v>6</v>
      </c>
      <c r="B42" s="15" t="inlineStr">
        <is>
          <t>Marketing/Communication</t>
        </is>
      </c>
      <c r="C42" s="15" t="inlineStr">
        <is>
          <t>Mensuel</t>
        </is>
      </c>
      <c r="D42" s="31" t="inlineStr">
        <is>
          <t>Marketing</t>
        </is>
      </c>
      <c r="E42" s="62" t="inlineStr">
        <is>
          <t>Digital+salons</t>
        </is>
      </c>
      <c r="F42" s="15" t="n">
        <v>300000</v>
      </c>
    </row>
    <row r="43" ht="15.75" customHeight="1" s="77">
      <c r="A43" s="35" t="n">
        <v>7</v>
      </c>
      <c r="B43" s="15" t="inlineStr">
        <is>
          <t>Frais comptables/juridiques</t>
        </is>
      </c>
      <c r="C43" s="15" t="inlineStr">
        <is>
          <t>Mensuel</t>
        </is>
      </c>
      <c r="D43" s="31" t="inlineStr">
        <is>
          <t>Admin</t>
        </is>
      </c>
      <c r="E43" s="62" t="inlineStr">
        <is>
          <t>Cabinet</t>
        </is>
      </c>
      <c r="F43" s="15" t="n">
        <v>250000</v>
      </c>
    </row>
    <row r="44" ht="15.75" customHeight="1" s="77">
      <c r="A44" s="35" t="n">
        <v>8</v>
      </c>
      <c r="B44" s="15" t="inlineStr">
        <is>
          <t>Maintenance machines</t>
        </is>
      </c>
      <c r="C44" s="15" t="inlineStr">
        <is>
          <t>Mensuel</t>
        </is>
      </c>
      <c r="D44" s="31" t="inlineStr">
        <is>
          <t>Maintenance</t>
        </is>
      </c>
      <c r="E44" s="62" t="inlineStr">
        <is>
          <t>WINKLER</t>
        </is>
      </c>
      <c r="F44" s="15" t="n">
        <v>400000</v>
      </c>
    </row>
    <row r="45" ht="15.75" customHeight="1" s="77">
      <c r="A45" s="35" t="n">
        <v>9</v>
      </c>
      <c r="B45" s="15" t="inlineStr">
        <is>
          <t>Fournitures bureau</t>
        </is>
      </c>
      <c r="C45" s="15" t="inlineStr">
        <is>
          <t>Mensuel</t>
        </is>
      </c>
      <c r="D45" s="31" t="inlineStr">
        <is>
          <t>Admin</t>
        </is>
      </c>
      <c r="E45" s="62" t="inlineStr">
        <is>
          <t>Papeterie</t>
        </is>
      </c>
      <c r="F45" s="15" t="n">
        <v>100000</v>
      </c>
    </row>
    <row r="46" ht="15.75" customHeight="1" s="77">
      <c r="A46" s="35" t="n">
        <v>10</v>
      </c>
      <c r="B46" s="15" t="inlineStr">
        <is>
          <t>Frais bancaires</t>
        </is>
      </c>
      <c r="C46" s="15" t="inlineStr">
        <is>
          <t>Mensuel</t>
        </is>
      </c>
      <c r="D46" s="31" t="inlineStr">
        <is>
          <t>Finance</t>
        </is>
      </c>
      <c r="E46" s="62" t="inlineStr">
        <is>
          <t>BIAO-CI</t>
        </is>
      </c>
      <c r="F46" s="15" t="n">
        <v>50000</v>
      </c>
    </row>
    <row r="47" ht="15.75" customHeight="1" s="77">
      <c r="A47" s="35" t="n">
        <v>11</v>
      </c>
      <c r="B47" s="15" t="n"/>
      <c r="C47" s="15" t="n"/>
      <c r="D47" s="31" t="n"/>
      <c r="E47" s="62">
        <f>IF(D47&lt;&gt;0,IF(C47="Mensuel",D47*12,IF(C47="Trimestriel",D47*4,IF(C47="Annuel",D47,""))),"")</f>
        <v/>
      </c>
      <c r="F47" s="15" t="n"/>
    </row>
    <row r="48" ht="15.75" customHeight="1" s="77">
      <c r="A48" s="35" t="n">
        <v>12</v>
      </c>
      <c r="B48" s="15" t="n"/>
      <c r="C48" s="15" t="n"/>
      <c r="D48" s="31" t="n"/>
      <c r="E48" s="62">
        <f>IF(D48&lt;&gt;0,IF(C48="Mensuel",D48*12,IF(C48="Trimestriel",D48*4,IF(C48="Annuel",D48,""))),"")</f>
        <v/>
      </c>
      <c r="F48" s="15" t="n"/>
    </row>
    <row r="49" ht="15.75" customHeight="1" s="77">
      <c r="A49" s="35" t="n">
        <v>13</v>
      </c>
      <c r="B49" s="15" t="n"/>
      <c r="C49" s="15" t="n"/>
      <c r="D49" s="31" t="n"/>
      <c r="E49" s="62">
        <f>IF(D49&lt;&gt;0,IF(C49="Mensuel",D49*12,IF(C49="Trimestriel",D49*4,IF(C49="Annuel",D49,""))),"")</f>
        <v/>
      </c>
      <c r="F49" s="15" t="n"/>
    </row>
    <row r="50" ht="15.75" customHeight="1" s="77">
      <c r="A50" s="35" t="n">
        <v>14</v>
      </c>
      <c r="B50" s="15" t="n"/>
      <c r="C50" s="15" t="n"/>
      <c r="D50" s="31" t="n"/>
      <c r="E50" s="62">
        <f>IF(D50&lt;&gt;0,IF(C50="Mensuel",D50*12,IF(C50="Trimestriel",D50*4,IF(C50="Annuel",D50,""))),"")</f>
        <v/>
      </c>
      <c r="F50" s="15" t="n"/>
    </row>
    <row r="51" ht="15.75" customHeight="1" s="77">
      <c r="A51" s="35" t="n">
        <v>15</v>
      </c>
      <c r="B51" s="15" t="n"/>
      <c r="C51" s="15" t="n"/>
      <c r="D51" s="31" t="n"/>
      <c r="E51" s="62">
        <f>IF(D51&lt;&gt;0,IF(C51="Mensuel",D51*12,IF(C51="Trimestriel",D51*4,IF(C51="Annuel",D51,""))),"")</f>
        <v/>
      </c>
      <c r="F51" s="15" t="n"/>
    </row>
    <row r="52" ht="15.75" customHeight="1" s="77">
      <c r="D52" s="7" t="n"/>
      <c r="E52" s="63" t="n"/>
    </row>
    <row r="53" ht="15.75" customHeight="1" s="77"/>
    <row r="54" ht="15.75" customHeight="1" s="77">
      <c r="A54" s="89" t="inlineStr">
        <is>
          <t>📊 SYNTHÈSE COÛTS (HORS RH)</t>
        </is>
      </c>
    </row>
    <row r="55" ht="15.75" customHeight="1" s="77"/>
    <row r="56" ht="15.75" customHeight="1" s="77">
      <c r="D56" s="7" t="n"/>
      <c r="E56" s="39" t="n"/>
    </row>
    <row r="57" ht="15.75" customHeight="1" s="77">
      <c r="D57" s="7" t="n"/>
      <c r="E57" s="39" t="n"/>
    </row>
    <row r="58" ht="15.75" customHeight="1" s="77">
      <c r="D58" s="7" t="n"/>
      <c r="E58" s="63" t="n"/>
    </row>
    <row r="59" ht="15.75" customHeight="1" s="77"/>
    <row r="60" ht="15.75" customHeight="1" s="77"/>
    <row r="61" ht="15.75" customHeight="1" s="77">
      <c r="A61" s="82" t="inlineStr">
        <is>
          <t>📊 COÛTS VARIABLES - SAISIE MENSUELLE 60 MOIS</t>
        </is>
      </c>
    </row>
    <row r="62" ht="15.75" customHeight="1" s="77">
      <c r="A62" s="44" t="inlineStr">
        <is>
          <t>Saisie mensuelle sur 5 ans (60 mois) pour capturer les variations saisonnières et évolutions progressives</t>
        </is>
      </c>
    </row>
    <row r="63" ht="15.75" customHeight="1" s="77"/>
    <row r="64" ht="15.75" customHeight="1" s="77">
      <c r="B64" s="83" t="inlineStr">
        <is>
          <t>ANNÉE 1</t>
        </is>
      </c>
      <c r="C64" s="84" t="n"/>
      <c r="D64" s="84" t="n"/>
      <c r="E64" s="84" t="n"/>
      <c r="F64" s="84" t="n"/>
      <c r="G64" s="84" t="n"/>
      <c r="H64" s="84" t="n"/>
      <c r="I64" s="84" t="n"/>
      <c r="J64" s="84" t="n"/>
      <c r="K64" s="84" t="n"/>
      <c r="L64" s="84" t="n"/>
      <c r="M64" s="84" t="n"/>
      <c r="N64" s="85" t="n"/>
      <c r="O64" s="83" t="inlineStr">
        <is>
          <t>ANNÉE 2</t>
        </is>
      </c>
      <c r="P64" s="84" t="n"/>
      <c r="Q64" s="84" t="n"/>
      <c r="R64" s="84" t="n"/>
      <c r="S64" s="84" t="n"/>
      <c r="T64" s="84" t="n"/>
      <c r="U64" s="84" t="n"/>
      <c r="V64" s="84" t="n"/>
      <c r="W64" s="84" t="n"/>
      <c r="X64" s="84" t="n"/>
      <c r="Y64" s="84" t="n"/>
      <c r="Z64" s="84" t="n"/>
      <c r="AA64" s="85" t="n"/>
      <c r="AB64" s="83" t="inlineStr">
        <is>
          <t>ANNÉE 3</t>
        </is>
      </c>
      <c r="AC64" s="84" t="n"/>
      <c r="AD64" s="84" t="n"/>
      <c r="AE64" s="84" t="n"/>
      <c r="AF64" s="84" t="n"/>
      <c r="AG64" s="84" t="n"/>
      <c r="AH64" s="84" t="n"/>
      <c r="AI64" s="84" t="n"/>
      <c r="AJ64" s="84" t="n"/>
      <c r="AK64" s="84" t="n"/>
      <c r="AL64" s="84" t="n"/>
      <c r="AM64" s="84" t="n"/>
      <c r="AN64" s="85" t="n"/>
      <c r="AO64" s="83" t="inlineStr">
        <is>
          <t>ANNÉE 4</t>
        </is>
      </c>
      <c r="AP64" s="84" t="n"/>
      <c r="AQ64" s="84" t="n"/>
      <c r="AR64" s="84" t="n"/>
      <c r="AS64" s="84" t="n"/>
      <c r="AT64" s="84" t="n"/>
      <c r="AU64" s="84" t="n"/>
      <c r="AV64" s="84" t="n"/>
      <c r="AW64" s="84" t="n"/>
      <c r="AX64" s="84" t="n"/>
      <c r="AY64" s="84" t="n"/>
      <c r="AZ64" s="84" t="n"/>
      <c r="BA64" s="85" t="n"/>
      <c r="BB64" s="83" t="inlineStr">
        <is>
          <t>ANNÉE 5</t>
        </is>
      </c>
      <c r="BC64" s="84" t="n"/>
      <c r="BD64" s="84" t="n"/>
      <c r="BE64" s="84" t="n"/>
      <c r="BF64" s="84" t="n"/>
      <c r="BG64" s="84" t="n"/>
      <c r="BH64" s="84" t="n"/>
      <c r="BI64" s="84" t="n"/>
      <c r="BJ64" s="84" t="n"/>
      <c r="BK64" s="84" t="n"/>
      <c r="BL64" s="84" t="n"/>
      <c r="BM64" s="84" t="n"/>
      <c r="BN64" s="85" t="n"/>
    </row>
    <row r="65" ht="15.75" customHeight="1" s="77">
      <c r="A65" s="48" t="inlineStr">
        <is>
          <t>Poste</t>
        </is>
      </c>
      <c r="B65" s="49" t="inlineStr">
        <is>
          <t>Jan</t>
        </is>
      </c>
      <c r="C65" s="49" t="inlineStr">
        <is>
          <t>Fév</t>
        </is>
      </c>
      <c r="D65" s="49" t="inlineStr">
        <is>
          <t>Mar</t>
        </is>
      </c>
      <c r="E65" s="49" t="inlineStr">
        <is>
          <t>Avr</t>
        </is>
      </c>
      <c r="F65" s="49" t="inlineStr">
        <is>
          <t>Mai</t>
        </is>
      </c>
      <c r="G65" s="49" t="inlineStr">
        <is>
          <t>Jun</t>
        </is>
      </c>
      <c r="H65" s="49" t="inlineStr">
        <is>
          <t>Jul</t>
        </is>
      </c>
      <c r="I65" s="49" t="inlineStr">
        <is>
          <t>Aoû</t>
        </is>
      </c>
      <c r="J65" s="49" t="inlineStr">
        <is>
          <t>Sep</t>
        </is>
      </c>
      <c r="K65" s="49" t="inlineStr">
        <is>
          <t>Oct</t>
        </is>
      </c>
      <c r="L65" s="49" t="inlineStr">
        <is>
          <t>Nov</t>
        </is>
      </c>
      <c r="M65" s="49" t="inlineStr">
        <is>
          <t>Déc</t>
        </is>
      </c>
      <c r="N65" s="50" t="inlineStr">
        <is>
          <t>Total An</t>
        </is>
      </c>
      <c r="O65" s="49" t="inlineStr">
        <is>
          <t>Jan</t>
        </is>
      </c>
      <c r="P65" s="49" t="inlineStr">
        <is>
          <t>Fév</t>
        </is>
      </c>
      <c r="Q65" s="49" t="inlineStr">
        <is>
          <t>Mar</t>
        </is>
      </c>
      <c r="R65" s="49" t="inlineStr">
        <is>
          <t>Avr</t>
        </is>
      </c>
      <c r="S65" s="49" t="inlineStr">
        <is>
          <t>Mai</t>
        </is>
      </c>
      <c r="T65" s="49" t="inlineStr">
        <is>
          <t>Jun</t>
        </is>
      </c>
      <c r="U65" s="49" t="inlineStr">
        <is>
          <t>Jul</t>
        </is>
      </c>
      <c r="V65" s="49" t="inlineStr">
        <is>
          <t>Aoû</t>
        </is>
      </c>
      <c r="W65" s="49" t="inlineStr">
        <is>
          <t>Sep</t>
        </is>
      </c>
      <c r="X65" s="49" t="inlineStr">
        <is>
          <t>Oct</t>
        </is>
      </c>
      <c r="Y65" s="49" t="inlineStr">
        <is>
          <t>Nov</t>
        </is>
      </c>
      <c r="Z65" s="49" t="inlineStr">
        <is>
          <t>Déc</t>
        </is>
      </c>
      <c r="AA65" s="50" t="inlineStr">
        <is>
          <t>Total An</t>
        </is>
      </c>
      <c r="AB65" s="49" t="inlineStr">
        <is>
          <t>Jan</t>
        </is>
      </c>
      <c r="AC65" s="49" t="inlineStr">
        <is>
          <t>Fév</t>
        </is>
      </c>
      <c r="AD65" s="49" t="inlineStr">
        <is>
          <t>Mar</t>
        </is>
      </c>
      <c r="AE65" s="49" t="inlineStr">
        <is>
          <t>Avr</t>
        </is>
      </c>
      <c r="AF65" s="49" t="inlineStr">
        <is>
          <t>Mai</t>
        </is>
      </c>
      <c r="AG65" s="49" t="inlineStr">
        <is>
          <t>Jun</t>
        </is>
      </c>
      <c r="AH65" s="49" t="inlineStr">
        <is>
          <t>Jul</t>
        </is>
      </c>
      <c r="AI65" s="49" t="inlineStr">
        <is>
          <t>Aoû</t>
        </is>
      </c>
      <c r="AJ65" s="49" t="inlineStr">
        <is>
          <t>Sep</t>
        </is>
      </c>
      <c r="AK65" s="49" t="inlineStr">
        <is>
          <t>Oct</t>
        </is>
      </c>
      <c r="AL65" s="49" t="inlineStr">
        <is>
          <t>Nov</t>
        </is>
      </c>
      <c r="AM65" s="49" t="inlineStr">
        <is>
          <t>Déc</t>
        </is>
      </c>
      <c r="AN65" s="50" t="inlineStr">
        <is>
          <t>Total An</t>
        </is>
      </c>
      <c r="AO65" s="49" t="inlineStr">
        <is>
          <t>Jan</t>
        </is>
      </c>
      <c r="AP65" s="49" t="inlineStr">
        <is>
          <t>Fév</t>
        </is>
      </c>
      <c r="AQ65" s="49" t="inlineStr">
        <is>
          <t>Mar</t>
        </is>
      </c>
      <c r="AR65" s="49" t="inlineStr">
        <is>
          <t>Avr</t>
        </is>
      </c>
      <c r="AS65" s="49" t="inlineStr">
        <is>
          <t>Mai</t>
        </is>
      </c>
      <c r="AT65" s="49" t="inlineStr">
        <is>
          <t>Jun</t>
        </is>
      </c>
      <c r="AU65" s="49" t="inlineStr">
        <is>
          <t>Jul</t>
        </is>
      </c>
      <c r="AV65" s="49" t="inlineStr">
        <is>
          <t>Aoû</t>
        </is>
      </c>
      <c r="AW65" s="49" t="inlineStr">
        <is>
          <t>Sep</t>
        </is>
      </c>
      <c r="AX65" s="49" t="inlineStr">
        <is>
          <t>Oct</t>
        </is>
      </c>
      <c r="AY65" s="49" t="inlineStr">
        <is>
          <t>Nov</t>
        </is>
      </c>
      <c r="AZ65" s="49" t="inlineStr">
        <is>
          <t>Déc</t>
        </is>
      </c>
      <c r="BA65" s="50" t="inlineStr">
        <is>
          <t>Total An</t>
        </is>
      </c>
      <c r="BB65" s="49" t="inlineStr">
        <is>
          <t>Jan</t>
        </is>
      </c>
      <c r="BC65" s="49" t="inlineStr">
        <is>
          <t>Fév</t>
        </is>
      </c>
      <c r="BD65" s="49" t="inlineStr">
        <is>
          <t>Mar</t>
        </is>
      </c>
      <c r="BE65" s="49" t="inlineStr">
        <is>
          <t>Avr</t>
        </is>
      </c>
      <c r="BF65" s="49" t="inlineStr">
        <is>
          <t>Mai</t>
        </is>
      </c>
      <c r="BG65" s="49" t="inlineStr">
        <is>
          <t>Jun</t>
        </is>
      </c>
      <c r="BH65" s="49" t="inlineStr">
        <is>
          <t>Jul</t>
        </is>
      </c>
      <c r="BI65" s="49" t="inlineStr">
        <is>
          <t>Aoû</t>
        </is>
      </c>
      <c r="BJ65" s="49" t="inlineStr">
        <is>
          <t>Sep</t>
        </is>
      </c>
      <c r="BK65" s="49" t="inlineStr">
        <is>
          <t>Oct</t>
        </is>
      </c>
      <c r="BL65" s="49" t="inlineStr">
        <is>
          <t>Nov</t>
        </is>
      </c>
      <c r="BM65" s="49" t="inlineStr">
        <is>
          <t>Déc</t>
        </is>
      </c>
      <c r="BN65" s="50" t="inlineStr">
        <is>
          <t>Total An</t>
        </is>
      </c>
    </row>
    <row r="66" ht="15.75" customHeight="1" s="77">
      <c r="A66" s="51" t="inlineStr">
        <is>
          <t>Achats Matières Premières</t>
        </is>
      </c>
      <c r="B66" s="52" t="n">
        <v>1798799</v>
      </c>
      <c r="C66" s="52" t="n">
        <v>1790635</v>
      </c>
      <c r="D66" s="52" t="n">
        <v>2225500</v>
      </c>
      <c r="E66" s="52" t="n">
        <v>2561285</v>
      </c>
      <c r="F66" s="52" t="n">
        <v>2460960</v>
      </c>
      <c r="G66" s="52" t="n">
        <v>2477284</v>
      </c>
      <c r="H66" s="52" t="n">
        <v>2489594</v>
      </c>
      <c r="I66" s="52" t="n">
        <v>2961183</v>
      </c>
      <c r="J66" s="52" t="n">
        <v>2832264</v>
      </c>
      <c r="K66" s="52" t="n">
        <v>2920186</v>
      </c>
      <c r="L66" s="52" t="n">
        <v>2520264</v>
      </c>
      <c r="M66" s="52" t="n">
        <v>1936100</v>
      </c>
      <c r="N66" s="53">
        <f>SUM(B66:M66)</f>
        <v/>
      </c>
      <c r="O66" s="52" t="n">
        <v>2444831</v>
      </c>
      <c r="P66" s="52" t="n">
        <v>2204518</v>
      </c>
      <c r="Q66" s="52" t="n">
        <v>2909036</v>
      </c>
      <c r="R66" s="52" t="n">
        <v>3226733</v>
      </c>
      <c r="S66" s="52" t="n">
        <v>3223185</v>
      </c>
      <c r="T66" s="52" t="n">
        <v>3278375</v>
      </c>
      <c r="U66" s="52" t="n">
        <v>3751900</v>
      </c>
      <c r="V66" s="52" t="n">
        <v>3946216</v>
      </c>
      <c r="W66" s="52" t="n">
        <v>3997111</v>
      </c>
      <c r="X66" s="52" t="n">
        <v>3328440</v>
      </c>
      <c r="Y66" s="52" t="n">
        <v>2784513</v>
      </c>
      <c r="Z66" s="52" t="n">
        <v>2355712</v>
      </c>
      <c r="AA66" s="53">
        <f>SUM(O66:Z66)</f>
        <v/>
      </c>
      <c r="AB66" s="52" t="n">
        <v>2875983</v>
      </c>
      <c r="AC66" s="52" t="n">
        <v>2922108</v>
      </c>
      <c r="AD66" s="52" t="n">
        <v>3241544</v>
      </c>
      <c r="AE66" s="52" t="n">
        <v>3912506</v>
      </c>
      <c r="AF66" s="52" t="n">
        <v>3736910</v>
      </c>
      <c r="AG66" s="52" t="n">
        <v>3917258</v>
      </c>
      <c r="AH66" s="52" t="n">
        <v>4830780</v>
      </c>
      <c r="AI66" s="52" t="n">
        <v>4652393</v>
      </c>
      <c r="AJ66" s="52" t="n">
        <v>5129137</v>
      </c>
      <c r="AK66" s="52" t="n">
        <v>4161562</v>
      </c>
      <c r="AL66" s="52" t="n">
        <v>3659744</v>
      </c>
      <c r="AM66" s="52" t="n">
        <v>3015029</v>
      </c>
      <c r="AN66" s="53">
        <f>SUM(AB66:AM66)</f>
        <v/>
      </c>
      <c r="AO66" s="52" t="n">
        <v>3913995</v>
      </c>
      <c r="AP66" s="52" t="n">
        <v>4021242</v>
      </c>
      <c r="AQ66" s="52" t="n">
        <v>4786460</v>
      </c>
      <c r="AR66" s="52" t="n">
        <v>4707701</v>
      </c>
      <c r="AS66" s="52" t="n">
        <v>5263822</v>
      </c>
      <c r="AT66" s="52" t="n">
        <v>5552367</v>
      </c>
      <c r="AU66" s="52" t="n">
        <v>5604914</v>
      </c>
      <c r="AV66" s="52" t="n">
        <v>6575054</v>
      </c>
      <c r="AW66" s="52" t="n">
        <v>5729454</v>
      </c>
      <c r="AX66" s="52" t="n">
        <v>5273438</v>
      </c>
      <c r="AY66" s="52" t="n">
        <v>5228574</v>
      </c>
      <c r="AZ66" s="52" t="n">
        <v>3796855</v>
      </c>
      <c r="BA66" s="53">
        <f>SUM(AO66:AZ66)</f>
        <v/>
      </c>
      <c r="BB66" s="52" t="n">
        <v>5001470</v>
      </c>
      <c r="BC66" s="52" t="n">
        <v>5334301</v>
      </c>
      <c r="BD66" s="52" t="n">
        <v>4985186</v>
      </c>
      <c r="BE66" s="52" t="n">
        <v>6399412</v>
      </c>
      <c r="BF66" s="52" t="n">
        <v>6196872</v>
      </c>
      <c r="BG66" s="52" t="n">
        <v>6294768</v>
      </c>
      <c r="BH66" s="52" t="n">
        <v>7083824</v>
      </c>
      <c r="BI66" s="52" t="n">
        <v>8036900</v>
      </c>
      <c r="BJ66" s="52" t="n">
        <v>7800914</v>
      </c>
      <c r="BK66" s="52" t="n">
        <v>7740057</v>
      </c>
      <c r="BL66" s="52" t="n">
        <v>5926079</v>
      </c>
      <c r="BM66" s="52" t="n">
        <v>5313329</v>
      </c>
      <c r="BN66" s="53">
        <f>SUM(BB66:BM66)</f>
        <v/>
      </c>
    </row>
    <row r="67" ht="15.75" customHeight="1" s="77">
      <c r="A67" s="51" t="inlineStr">
        <is>
          <t>Achats Intrants Agricoles</t>
        </is>
      </c>
      <c r="B67" s="52" t="n"/>
      <c r="C67" s="52" t="n"/>
      <c r="D67" s="52" t="n"/>
      <c r="E67" s="52" t="n"/>
      <c r="F67" s="52" t="n"/>
      <c r="G67" s="52" t="n"/>
      <c r="H67" s="52" t="n"/>
      <c r="I67" s="52" t="n"/>
      <c r="J67" s="52" t="n"/>
      <c r="K67" s="52" t="n"/>
      <c r="L67" s="52" t="n"/>
      <c r="M67" s="52" t="n"/>
      <c r="N67" s="53">
        <f>SUM(B67:M67)</f>
        <v/>
      </c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52" t="n"/>
      <c r="Z67" s="52" t="n"/>
      <c r="AA67" s="53">
        <f>SUM(O67:Z67)</f>
        <v/>
      </c>
      <c r="AB67" s="52" t="n"/>
      <c r="AC67" s="52" t="n"/>
      <c r="AD67" s="52" t="n"/>
      <c r="AE67" s="52" t="n"/>
      <c r="AF67" s="52" t="n"/>
      <c r="AG67" s="52" t="n"/>
      <c r="AH67" s="52" t="n"/>
      <c r="AI67" s="52" t="n"/>
      <c r="AJ67" s="52" t="n"/>
      <c r="AK67" s="52" t="n"/>
      <c r="AL67" s="52" t="n"/>
      <c r="AM67" s="52" t="n"/>
      <c r="AN67" s="53">
        <f>SUM(AB67:AM67)</f>
        <v/>
      </c>
      <c r="AO67" s="52" t="n"/>
      <c r="AP67" s="52" t="n"/>
      <c r="AQ67" s="52" t="n"/>
      <c r="AR67" s="52" t="n"/>
      <c r="AS67" s="52" t="n"/>
      <c r="AT67" s="52" t="n"/>
      <c r="AU67" s="52" t="n"/>
      <c r="AV67" s="52" t="n"/>
      <c r="AW67" s="52" t="n"/>
      <c r="AX67" s="52" t="n"/>
      <c r="AY67" s="52" t="n"/>
      <c r="AZ67" s="52" t="n"/>
      <c r="BA67" s="53">
        <f>SUM(AO67:AZ67)</f>
        <v/>
      </c>
      <c r="BB67" s="52" t="n"/>
      <c r="BC67" s="52" t="n"/>
      <c r="BD67" s="52" t="n"/>
      <c r="BE67" s="52" t="n"/>
      <c r="BF67" s="52" t="n"/>
      <c r="BG67" s="52" t="n"/>
      <c r="BH67" s="52" t="n"/>
      <c r="BI67" s="52" t="n"/>
      <c r="BJ67" s="52" t="n"/>
      <c r="BK67" s="52" t="n"/>
      <c r="BL67" s="52" t="n"/>
      <c r="BM67" s="52" t="n"/>
      <c r="BN67" s="53">
        <f>SUM(BB67:BM67)</f>
        <v/>
      </c>
    </row>
    <row r="68" ht="15.75" customHeight="1" s="77">
      <c r="A68" s="51" t="inlineStr">
        <is>
          <t>Coûts Logistique Variable</t>
        </is>
      </c>
      <c r="B68" s="52" t="n">
        <v>343001</v>
      </c>
      <c r="C68" s="52" t="n">
        <v>366785</v>
      </c>
      <c r="D68" s="52" t="n">
        <v>421203</v>
      </c>
      <c r="E68" s="52" t="n">
        <v>350432</v>
      </c>
      <c r="F68" s="52" t="n">
        <v>343575</v>
      </c>
      <c r="G68" s="52" t="n">
        <v>400642</v>
      </c>
      <c r="H68" s="52" t="n">
        <v>363860</v>
      </c>
      <c r="I68" s="52" t="n">
        <v>405392</v>
      </c>
      <c r="J68" s="52" t="n">
        <v>410711</v>
      </c>
      <c r="K68" s="52" t="n">
        <v>340779</v>
      </c>
      <c r="L68" s="52" t="n">
        <v>423776</v>
      </c>
      <c r="M68" s="52" t="n">
        <v>358657</v>
      </c>
      <c r="N68" s="53">
        <f>SUM(B68:M68)</f>
        <v/>
      </c>
      <c r="O68" s="52" t="n">
        <v>523038</v>
      </c>
      <c r="P68" s="52" t="n">
        <v>483458</v>
      </c>
      <c r="Q68" s="52" t="n">
        <v>567114</v>
      </c>
      <c r="R68" s="52" t="n">
        <v>587905</v>
      </c>
      <c r="S68" s="52" t="n">
        <v>628064</v>
      </c>
      <c r="T68" s="52" t="n">
        <v>558586</v>
      </c>
      <c r="U68" s="52" t="n">
        <v>569555</v>
      </c>
      <c r="V68" s="52" t="n">
        <v>562763</v>
      </c>
      <c r="W68" s="52" t="n">
        <v>475061</v>
      </c>
      <c r="X68" s="52" t="n">
        <v>515249</v>
      </c>
      <c r="Y68" s="52" t="n">
        <v>505910</v>
      </c>
      <c r="Z68" s="52" t="n">
        <v>513365</v>
      </c>
      <c r="AA68" s="53">
        <f>SUM(O68:Z68)</f>
        <v/>
      </c>
      <c r="AB68" s="52" t="n">
        <v>671614</v>
      </c>
      <c r="AC68" s="52" t="n">
        <v>638996</v>
      </c>
      <c r="AD68" s="52" t="n">
        <v>791697</v>
      </c>
      <c r="AE68" s="52" t="n">
        <v>722917</v>
      </c>
      <c r="AF68" s="52" t="n">
        <v>748116</v>
      </c>
      <c r="AG68" s="52" t="n">
        <v>674685</v>
      </c>
      <c r="AH68" s="52" t="n">
        <v>729399</v>
      </c>
      <c r="AI68" s="52" t="n">
        <v>738768</v>
      </c>
      <c r="AJ68" s="52" t="n">
        <v>757959</v>
      </c>
      <c r="AK68" s="52" t="n">
        <v>601741</v>
      </c>
      <c r="AL68" s="52" t="n">
        <v>651225</v>
      </c>
      <c r="AM68" s="52" t="n">
        <v>793011</v>
      </c>
      <c r="AN68" s="53">
        <f>SUM(AB68:AM68)</f>
        <v/>
      </c>
      <c r="AO68" s="52" t="n">
        <v>849963</v>
      </c>
      <c r="AP68" s="52" t="n">
        <v>871820</v>
      </c>
      <c r="AQ68" s="52" t="n">
        <v>888890</v>
      </c>
      <c r="AR68" s="52" t="n">
        <v>831589</v>
      </c>
      <c r="AS68" s="52" t="n">
        <v>835940</v>
      </c>
      <c r="AT68" s="52" t="n">
        <v>1007412</v>
      </c>
      <c r="AU68" s="52" t="n">
        <v>824216</v>
      </c>
      <c r="AV68" s="52" t="n">
        <v>902572</v>
      </c>
      <c r="AW68" s="52" t="n">
        <v>777721</v>
      </c>
      <c r="AX68" s="52" t="n">
        <v>934410</v>
      </c>
      <c r="AY68" s="52" t="n">
        <v>878983</v>
      </c>
      <c r="AZ68" s="52" t="n">
        <v>868037</v>
      </c>
      <c r="BA68" s="53">
        <f>SUM(AO68:AZ68)</f>
        <v/>
      </c>
      <c r="BB68" s="52" t="n">
        <v>1210481</v>
      </c>
      <c r="BC68" s="52" t="n">
        <v>1329880</v>
      </c>
      <c r="BD68" s="52" t="n">
        <v>1279459</v>
      </c>
      <c r="BE68" s="52" t="n">
        <v>1213309</v>
      </c>
      <c r="BF68" s="52" t="n">
        <v>1250746</v>
      </c>
      <c r="BG68" s="52" t="n">
        <v>1176515</v>
      </c>
      <c r="BH68" s="52" t="n">
        <v>1363373</v>
      </c>
      <c r="BI68" s="52" t="n">
        <v>1114820</v>
      </c>
      <c r="BJ68" s="52" t="n">
        <v>1084314</v>
      </c>
      <c r="BK68" s="52" t="n">
        <v>1333386</v>
      </c>
      <c r="BL68" s="52" t="n">
        <v>1250021</v>
      </c>
      <c r="BM68" s="52" t="n">
        <v>1075022</v>
      </c>
      <c r="BN68" s="53">
        <f>SUM(BB68:BM68)</f>
        <v/>
      </c>
    </row>
    <row r="69" ht="15.75" customHeight="1" s="77">
      <c r="A69" s="51" t="inlineStr">
        <is>
          <t>Commissions &amp; Frais Ventes</t>
        </is>
      </c>
      <c r="B69" s="52" t="n"/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3">
        <f>SUM(B69:M69)</f>
        <v/>
      </c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52" t="n"/>
      <c r="Z69" s="52" t="n"/>
      <c r="AA69" s="53">
        <f>SUM(O69:Z69)</f>
        <v/>
      </c>
      <c r="AB69" s="52" t="n"/>
      <c r="AC69" s="52" t="n"/>
      <c r="AD69" s="52" t="n"/>
      <c r="AE69" s="52" t="n"/>
      <c r="AF69" s="52" t="n"/>
      <c r="AG69" s="52" t="n"/>
      <c r="AH69" s="52" t="n"/>
      <c r="AI69" s="52" t="n"/>
      <c r="AJ69" s="52" t="n"/>
      <c r="AK69" s="52" t="n"/>
      <c r="AL69" s="52" t="n"/>
      <c r="AM69" s="52" t="n"/>
      <c r="AN69" s="53">
        <f>SUM(AB69:AM69)</f>
        <v/>
      </c>
      <c r="AO69" s="52" t="n"/>
      <c r="AP69" s="52" t="n"/>
      <c r="AQ69" s="52" t="n"/>
      <c r="AR69" s="52" t="n"/>
      <c r="AS69" s="52" t="n"/>
      <c r="AT69" s="52" t="n"/>
      <c r="AU69" s="52" t="n"/>
      <c r="AV69" s="52" t="n"/>
      <c r="AW69" s="52" t="n"/>
      <c r="AX69" s="52" t="n"/>
      <c r="AY69" s="52" t="n"/>
      <c r="AZ69" s="52" t="n"/>
      <c r="BA69" s="53">
        <f>SUM(AO69:AZ69)</f>
        <v/>
      </c>
      <c r="BB69" s="52" t="n"/>
      <c r="BC69" s="52" t="n"/>
      <c r="BD69" s="52" t="n"/>
      <c r="BE69" s="52" t="n"/>
      <c r="BF69" s="52" t="n"/>
      <c r="BG69" s="52" t="n"/>
      <c r="BH69" s="52" t="n"/>
      <c r="BI69" s="52" t="n"/>
      <c r="BJ69" s="52" t="n"/>
      <c r="BK69" s="52" t="n"/>
      <c r="BL69" s="52" t="n"/>
      <c r="BM69" s="52" t="n"/>
      <c r="BN69" s="53">
        <f>SUM(BB69:BM69)</f>
        <v/>
      </c>
    </row>
    <row r="70" ht="15.75" customHeight="1" s="77">
      <c r="A70" s="51" t="inlineStr">
        <is>
          <t>Emballages &amp; Conditionnement</t>
        </is>
      </c>
      <c r="B70" s="52" t="n"/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3">
        <f>SUM(B70:M70)</f>
        <v/>
      </c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52" t="n"/>
      <c r="Z70" s="52" t="n"/>
      <c r="AA70" s="53">
        <f>SUM(O70:Z70)</f>
        <v/>
      </c>
      <c r="AB70" s="52" t="n"/>
      <c r="AC70" s="52" t="n"/>
      <c r="AD70" s="52" t="n"/>
      <c r="AE70" s="52" t="n"/>
      <c r="AF70" s="52" t="n"/>
      <c r="AG70" s="52" t="n"/>
      <c r="AH70" s="52" t="n"/>
      <c r="AI70" s="52" t="n"/>
      <c r="AJ70" s="52" t="n"/>
      <c r="AK70" s="52" t="n"/>
      <c r="AL70" s="52" t="n"/>
      <c r="AM70" s="52" t="n"/>
      <c r="AN70" s="53">
        <f>SUM(AB70:AM70)</f>
        <v/>
      </c>
      <c r="AO70" s="52" t="n"/>
      <c r="AP70" s="52" t="n"/>
      <c r="AQ70" s="52" t="n"/>
      <c r="AR70" s="52" t="n"/>
      <c r="AS70" s="52" t="n"/>
      <c r="AT70" s="52" t="n"/>
      <c r="AU70" s="52" t="n"/>
      <c r="AV70" s="52" t="n"/>
      <c r="AW70" s="52" t="n"/>
      <c r="AX70" s="52" t="n"/>
      <c r="AY70" s="52" t="n"/>
      <c r="AZ70" s="52" t="n"/>
      <c r="BA70" s="53">
        <f>SUM(AO70:AZ70)</f>
        <v/>
      </c>
      <c r="BB70" s="52" t="n"/>
      <c r="BC70" s="52" t="n"/>
      <c r="BD70" s="52" t="n"/>
      <c r="BE70" s="52" t="n"/>
      <c r="BF70" s="52" t="n"/>
      <c r="BG70" s="52" t="n"/>
      <c r="BH70" s="52" t="n"/>
      <c r="BI70" s="52" t="n"/>
      <c r="BJ70" s="52" t="n"/>
      <c r="BK70" s="52" t="n"/>
      <c r="BL70" s="52" t="n"/>
      <c r="BM70" s="52" t="n"/>
      <c r="BN70" s="53">
        <f>SUM(BB70:BM70)</f>
        <v/>
      </c>
    </row>
    <row r="71" ht="15.75" customHeight="1" s="77">
      <c r="A71" s="51" t="inlineStr">
        <is>
          <t>Autres Coûts Variables</t>
        </is>
      </c>
      <c r="B71" s="52" t="n"/>
      <c r="C71" s="52" t="n"/>
      <c r="D71" s="52" t="n"/>
      <c r="E71" s="52" t="n"/>
      <c r="F71" s="52" t="n"/>
      <c r="G71" s="52" t="n"/>
      <c r="H71" s="52" t="n"/>
      <c r="I71" s="52" t="n"/>
      <c r="J71" s="52" t="n"/>
      <c r="K71" s="52" t="n"/>
      <c r="L71" s="52" t="n"/>
      <c r="M71" s="52" t="n"/>
      <c r="N71" s="53">
        <f>SUM(B71:M71)</f>
        <v/>
      </c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52" t="n"/>
      <c r="Z71" s="52" t="n"/>
      <c r="AA71" s="53">
        <f>SUM(O71:Z71)</f>
        <v/>
      </c>
      <c r="AB71" s="52" t="n"/>
      <c r="AC71" s="52" t="n"/>
      <c r="AD71" s="52" t="n"/>
      <c r="AE71" s="52" t="n"/>
      <c r="AF71" s="52" t="n"/>
      <c r="AG71" s="52" t="n"/>
      <c r="AH71" s="52" t="n"/>
      <c r="AI71" s="52" t="n"/>
      <c r="AJ71" s="52" t="n"/>
      <c r="AK71" s="52" t="n"/>
      <c r="AL71" s="52" t="n"/>
      <c r="AM71" s="52" t="n"/>
      <c r="AN71" s="53">
        <f>SUM(AB71:AM71)</f>
        <v/>
      </c>
      <c r="AO71" s="52" t="n"/>
      <c r="AP71" s="52" t="n"/>
      <c r="AQ71" s="52" t="n"/>
      <c r="AR71" s="52" t="n"/>
      <c r="AS71" s="52" t="n"/>
      <c r="AT71" s="52" t="n"/>
      <c r="AU71" s="52" t="n"/>
      <c r="AV71" s="52" t="n"/>
      <c r="AW71" s="52" t="n"/>
      <c r="AX71" s="52" t="n"/>
      <c r="AY71" s="52" t="n"/>
      <c r="AZ71" s="52" t="n"/>
      <c r="BA71" s="53">
        <f>SUM(AO71:AZ71)</f>
        <v/>
      </c>
      <c r="BB71" s="52" t="n"/>
      <c r="BC71" s="52" t="n"/>
      <c r="BD71" s="52" t="n"/>
      <c r="BE71" s="52" t="n"/>
      <c r="BF71" s="52" t="n"/>
      <c r="BG71" s="52" t="n"/>
      <c r="BH71" s="52" t="n"/>
      <c r="BI71" s="52" t="n"/>
      <c r="BJ71" s="52" t="n"/>
      <c r="BK71" s="52" t="n"/>
      <c r="BL71" s="52" t="n"/>
      <c r="BM71" s="52" t="n"/>
      <c r="BN71" s="53">
        <f>SUM(BB71:BM71)</f>
        <v/>
      </c>
    </row>
    <row r="72" ht="15.75" customHeight="1" s="77">
      <c r="A72" s="54" t="inlineStr">
        <is>
          <t>TOTAL</t>
        </is>
      </c>
      <c r="B72" s="53">
        <f>SUM(B66:B71)</f>
        <v/>
      </c>
      <c r="C72" s="53">
        <f>SUM(C66:C71)</f>
        <v/>
      </c>
      <c r="D72" s="53">
        <f>SUM(D66:D71)</f>
        <v/>
      </c>
      <c r="E72" s="53">
        <f>SUM(E66:E71)</f>
        <v/>
      </c>
      <c r="F72" s="53">
        <f>SUM(F66:F71)</f>
        <v/>
      </c>
      <c r="G72" s="53">
        <f>SUM(G66:G71)</f>
        <v/>
      </c>
      <c r="H72" s="53">
        <f>SUM(H66:H71)</f>
        <v/>
      </c>
      <c r="I72" s="53">
        <f>SUM(I66:I71)</f>
        <v/>
      </c>
      <c r="J72" s="53">
        <f>SUM(J66:J71)</f>
        <v/>
      </c>
      <c r="K72" s="53">
        <f>SUM(K66:K71)</f>
        <v/>
      </c>
      <c r="L72" s="53">
        <f>SUM(L66:L71)</f>
        <v/>
      </c>
      <c r="M72" s="53">
        <f>SUM(M66:M71)</f>
        <v/>
      </c>
      <c r="N72" s="55">
        <f>SUM(B72:M72)</f>
        <v/>
      </c>
      <c r="O72" s="53">
        <f>SUM(O66:O71)</f>
        <v/>
      </c>
      <c r="P72" s="53">
        <f>SUM(P66:P71)</f>
        <v/>
      </c>
      <c r="Q72" s="53">
        <f>SUM(Q66:Q71)</f>
        <v/>
      </c>
      <c r="R72" s="53">
        <f>SUM(R66:R71)</f>
        <v/>
      </c>
      <c r="S72" s="53">
        <f>SUM(S66:S71)</f>
        <v/>
      </c>
      <c r="T72" s="53">
        <f>SUM(T66:T71)</f>
        <v/>
      </c>
      <c r="U72" s="53">
        <f>SUM(U66:U71)</f>
        <v/>
      </c>
      <c r="V72" s="53">
        <f>SUM(V66:V71)</f>
        <v/>
      </c>
      <c r="W72" s="53">
        <f>SUM(W66:W71)</f>
        <v/>
      </c>
      <c r="X72" s="53">
        <f>SUM(X66:X71)</f>
        <v/>
      </c>
      <c r="Y72" s="53">
        <f>SUM(Y66:Y71)</f>
        <v/>
      </c>
      <c r="Z72" s="53">
        <f>SUM(Z66:Z71)</f>
        <v/>
      </c>
      <c r="AA72" s="55">
        <f>SUM(O72:Z72)</f>
        <v/>
      </c>
      <c r="AB72" s="53">
        <f>SUM(AB66:AB71)</f>
        <v/>
      </c>
      <c r="AC72" s="53">
        <f>SUM(AC66:AC71)</f>
        <v/>
      </c>
      <c r="AD72" s="53">
        <f>SUM(AD66:AD71)</f>
        <v/>
      </c>
      <c r="AE72" s="53">
        <f>SUM(AE66:AE71)</f>
        <v/>
      </c>
      <c r="AF72" s="53">
        <f>SUM(AF66:AF71)</f>
        <v/>
      </c>
      <c r="AG72" s="53">
        <f>SUM(AG66:AG71)</f>
        <v/>
      </c>
      <c r="AH72" s="53">
        <f>SUM(AH66:AH71)</f>
        <v/>
      </c>
      <c r="AI72" s="53">
        <f>SUM(AI66:AI71)</f>
        <v/>
      </c>
      <c r="AJ72" s="53">
        <f>SUM(AJ66:AJ71)</f>
        <v/>
      </c>
      <c r="AK72" s="53">
        <f>SUM(AK66:AK71)</f>
        <v/>
      </c>
      <c r="AL72" s="53">
        <f>SUM(AL66:AL71)</f>
        <v/>
      </c>
      <c r="AM72" s="53">
        <f>SUM(AM66:AM71)</f>
        <v/>
      </c>
      <c r="AN72" s="55">
        <f>SUM(AB72:AM72)</f>
        <v/>
      </c>
      <c r="AO72" s="53">
        <f>SUM(AO66:AO71)</f>
        <v/>
      </c>
      <c r="AP72" s="53">
        <f>SUM(AP66:AP71)</f>
        <v/>
      </c>
      <c r="AQ72" s="53">
        <f>SUM(AQ66:AQ71)</f>
        <v/>
      </c>
      <c r="AR72" s="53">
        <f>SUM(AR66:AR71)</f>
        <v/>
      </c>
      <c r="AS72" s="53">
        <f>SUM(AS66:AS71)</f>
        <v/>
      </c>
      <c r="AT72" s="53">
        <f>SUM(AT66:AT71)</f>
        <v/>
      </c>
      <c r="AU72" s="53">
        <f>SUM(AU66:AU71)</f>
        <v/>
      </c>
      <c r="AV72" s="53">
        <f>SUM(AV66:AV71)</f>
        <v/>
      </c>
      <c r="AW72" s="53">
        <f>SUM(AW66:AW71)</f>
        <v/>
      </c>
      <c r="AX72" s="53">
        <f>SUM(AX66:AX71)</f>
        <v/>
      </c>
      <c r="AY72" s="53">
        <f>SUM(AY66:AY71)</f>
        <v/>
      </c>
      <c r="AZ72" s="53">
        <f>SUM(AZ66:AZ71)</f>
        <v/>
      </c>
      <c r="BA72" s="55">
        <f>SUM(AO72:AZ72)</f>
        <v/>
      </c>
      <c r="BB72" s="53">
        <f>SUM(BB66:BB71)</f>
        <v/>
      </c>
      <c r="BC72" s="53">
        <f>SUM(BC66:BC71)</f>
        <v/>
      </c>
      <c r="BD72" s="53">
        <f>SUM(BD66:BD71)</f>
        <v/>
      </c>
      <c r="BE72" s="53">
        <f>SUM(BE66:BE71)</f>
        <v/>
      </c>
      <c r="BF72" s="53">
        <f>SUM(BF66:BF71)</f>
        <v/>
      </c>
      <c r="BG72" s="53">
        <f>SUM(BG66:BG71)</f>
        <v/>
      </c>
      <c r="BH72" s="53">
        <f>SUM(BH66:BH71)</f>
        <v/>
      </c>
      <c r="BI72" s="53">
        <f>SUM(BI66:BI71)</f>
        <v/>
      </c>
      <c r="BJ72" s="53">
        <f>SUM(BJ66:BJ71)</f>
        <v/>
      </c>
      <c r="BK72" s="53">
        <f>SUM(BK66:BK71)</f>
        <v/>
      </c>
      <c r="BL72" s="53">
        <f>SUM(BL66:BL71)</f>
        <v/>
      </c>
      <c r="BM72" s="53">
        <f>SUM(BM66:BM71)</f>
        <v/>
      </c>
      <c r="BN72" s="55">
        <f>SUM(BB72:BM72)</f>
        <v/>
      </c>
    </row>
    <row r="73" ht="15.75" customHeight="1" s="77"/>
    <row r="74" ht="15.75" customHeight="1" s="77">
      <c r="A74" s="86" t="inlineStr">
        <is>
          <t>💡 Conseil : Saisissez les montants mois par mois pour refléter les variations saisonnières. Les totaux se calculent automatiquement.</t>
        </is>
      </c>
    </row>
    <row r="75" ht="15.75" customHeight="1" s="77"/>
    <row r="76" ht="15.75" customHeight="1" s="77">
      <c r="A76" s="82" t="inlineStr">
        <is>
          <t>🏢 COÛTS FIXES - SAISIE MENSUELLE 60 MOIS</t>
        </is>
      </c>
    </row>
    <row r="77" ht="15.75" customHeight="1" s="77">
      <c r="A77" s="44" t="inlineStr">
        <is>
          <t>Saisie mensuelle sur 5 ans (60 mois) pour capturer les variations saisonnières et évolutions progressives</t>
        </is>
      </c>
    </row>
    <row r="78" ht="15.75" customHeight="1" s="77"/>
    <row r="79" ht="15.75" customHeight="1" s="77">
      <c r="B79" s="83" t="inlineStr">
        <is>
          <t>ANNÉE 1</t>
        </is>
      </c>
      <c r="C79" s="84" t="n"/>
      <c r="D79" s="84" t="n"/>
      <c r="E79" s="84" t="n"/>
      <c r="F79" s="84" t="n"/>
      <c r="G79" s="84" t="n"/>
      <c r="H79" s="84" t="n"/>
      <c r="I79" s="84" t="n"/>
      <c r="J79" s="84" t="n"/>
      <c r="K79" s="84" t="n"/>
      <c r="L79" s="84" t="n"/>
      <c r="M79" s="84" t="n"/>
      <c r="N79" s="85" t="n"/>
      <c r="O79" s="83" t="inlineStr">
        <is>
          <t>ANNÉE 2</t>
        </is>
      </c>
      <c r="P79" s="84" t="n"/>
      <c r="Q79" s="84" t="n"/>
      <c r="R79" s="84" t="n"/>
      <c r="S79" s="84" t="n"/>
      <c r="T79" s="84" t="n"/>
      <c r="U79" s="84" t="n"/>
      <c r="V79" s="84" t="n"/>
      <c r="W79" s="84" t="n"/>
      <c r="X79" s="84" t="n"/>
      <c r="Y79" s="84" t="n"/>
      <c r="Z79" s="84" t="n"/>
      <c r="AA79" s="85" t="n"/>
      <c r="AB79" s="83" t="inlineStr">
        <is>
          <t>ANNÉE 3</t>
        </is>
      </c>
      <c r="AC79" s="84" t="n"/>
      <c r="AD79" s="84" t="n"/>
      <c r="AE79" s="84" t="n"/>
      <c r="AF79" s="84" t="n"/>
      <c r="AG79" s="84" t="n"/>
      <c r="AH79" s="84" t="n"/>
      <c r="AI79" s="84" t="n"/>
      <c r="AJ79" s="84" t="n"/>
      <c r="AK79" s="84" t="n"/>
      <c r="AL79" s="84" t="n"/>
      <c r="AM79" s="84" t="n"/>
      <c r="AN79" s="85" t="n"/>
      <c r="AO79" s="83" t="inlineStr">
        <is>
          <t>ANNÉE 4</t>
        </is>
      </c>
      <c r="AP79" s="84" t="n"/>
      <c r="AQ79" s="84" t="n"/>
      <c r="AR79" s="84" t="n"/>
      <c r="AS79" s="84" t="n"/>
      <c r="AT79" s="84" t="n"/>
      <c r="AU79" s="84" t="n"/>
      <c r="AV79" s="84" t="n"/>
      <c r="AW79" s="84" t="n"/>
      <c r="AX79" s="84" t="n"/>
      <c r="AY79" s="84" t="n"/>
      <c r="AZ79" s="84" t="n"/>
      <c r="BA79" s="85" t="n"/>
      <c r="BB79" s="83" t="inlineStr">
        <is>
          <t>ANNÉE 5</t>
        </is>
      </c>
      <c r="BC79" s="84" t="n"/>
      <c r="BD79" s="84" t="n"/>
      <c r="BE79" s="84" t="n"/>
      <c r="BF79" s="84" t="n"/>
      <c r="BG79" s="84" t="n"/>
      <c r="BH79" s="84" t="n"/>
      <c r="BI79" s="84" t="n"/>
      <c r="BJ79" s="84" t="n"/>
      <c r="BK79" s="84" t="n"/>
      <c r="BL79" s="84" t="n"/>
      <c r="BM79" s="84" t="n"/>
      <c r="BN79" s="85" t="n"/>
    </row>
    <row r="80" ht="15.75" customHeight="1" s="77">
      <c r="A80" s="48" t="inlineStr">
        <is>
          <t>Poste</t>
        </is>
      </c>
      <c r="B80" s="49" t="inlineStr">
        <is>
          <t>Jan</t>
        </is>
      </c>
      <c r="C80" s="49" t="inlineStr">
        <is>
          <t>Fév</t>
        </is>
      </c>
      <c r="D80" s="49" t="inlineStr">
        <is>
          <t>Mar</t>
        </is>
      </c>
      <c r="E80" s="49" t="inlineStr">
        <is>
          <t>Avr</t>
        </is>
      </c>
      <c r="F80" s="49" t="inlineStr">
        <is>
          <t>Mai</t>
        </is>
      </c>
      <c r="G80" s="49" t="inlineStr">
        <is>
          <t>Jun</t>
        </is>
      </c>
      <c r="H80" s="49" t="inlineStr">
        <is>
          <t>Jul</t>
        </is>
      </c>
      <c r="I80" s="49" t="inlineStr">
        <is>
          <t>Aoû</t>
        </is>
      </c>
      <c r="J80" s="49" t="inlineStr">
        <is>
          <t>Sep</t>
        </is>
      </c>
      <c r="K80" s="49" t="inlineStr">
        <is>
          <t>Oct</t>
        </is>
      </c>
      <c r="L80" s="49" t="inlineStr">
        <is>
          <t>Nov</t>
        </is>
      </c>
      <c r="M80" s="49" t="inlineStr">
        <is>
          <t>Déc</t>
        </is>
      </c>
      <c r="N80" s="50" t="inlineStr">
        <is>
          <t>Total An</t>
        </is>
      </c>
      <c r="O80" s="49" t="inlineStr">
        <is>
          <t>Jan</t>
        </is>
      </c>
      <c r="P80" s="49" t="inlineStr">
        <is>
          <t>Fév</t>
        </is>
      </c>
      <c r="Q80" s="49" t="inlineStr">
        <is>
          <t>Mar</t>
        </is>
      </c>
      <c r="R80" s="49" t="inlineStr">
        <is>
          <t>Avr</t>
        </is>
      </c>
      <c r="S80" s="49" t="inlineStr">
        <is>
          <t>Mai</t>
        </is>
      </c>
      <c r="T80" s="49" t="inlineStr">
        <is>
          <t>Jun</t>
        </is>
      </c>
      <c r="U80" s="49" t="inlineStr">
        <is>
          <t>Jul</t>
        </is>
      </c>
      <c r="V80" s="49" t="inlineStr">
        <is>
          <t>Aoû</t>
        </is>
      </c>
      <c r="W80" s="49" t="inlineStr">
        <is>
          <t>Sep</t>
        </is>
      </c>
      <c r="X80" s="49" t="inlineStr">
        <is>
          <t>Oct</t>
        </is>
      </c>
      <c r="Y80" s="49" t="inlineStr">
        <is>
          <t>Nov</t>
        </is>
      </c>
      <c r="Z80" s="49" t="inlineStr">
        <is>
          <t>Déc</t>
        </is>
      </c>
      <c r="AA80" s="50" t="inlineStr">
        <is>
          <t>Total An</t>
        </is>
      </c>
      <c r="AB80" s="49" t="inlineStr">
        <is>
          <t>Jan</t>
        </is>
      </c>
      <c r="AC80" s="49" t="inlineStr">
        <is>
          <t>Fév</t>
        </is>
      </c>
      <c r="AD80" s="49" t="inlineStr">
        <is>
          <t>Mar</t>
        </is>
      </c>
      <c r="AE80" s="49" t="inlineStr">
        <is>
          <t>Avr</t>
        </is>
      </c>
      <c r="AF80" s="49" t="inlineStr">
        <is>
          <t>Mai</t>
        </is>
      </c>
      <c r="AG80" s="49" t="inlineStr">
        <is>
          <t>Jun</t>
        </is>
      </c>
      <c r="AH80" s="49" t="inlineStr">
        <is>
          <t>Jul</t>
        </is>
      </c>
      <c r="AI80" s="49" t="inlineStr">
        <is>
          <t>Aoû</t>
        </is>
      </c>
      <c r="AJ80" s="49" t="inlineStr">
        <is>
          <t>Sep</t>
        </is>
      </c>
      <c r="AK80" s="49" t="inlineStr">
        <is>
          <t>Oct</t>
        </is>
      </c>
      <c r="AL80" s="49" t="inlineStr">
        <is>
          <t>Nov</t>
        </is>
      </c>
      <c r="AM80" s="49" t="inlineStr">
        <is>
          <t>Déc</t>
        </is>
      </c>
      <c r="AN80" s="50" t="inlineStr">
        <is>
          <t>Total An</t>
        </is>
      </c>
      <c r="AO80" s="49" t="inlineStr">
        <is>
          <t>Jan</t>
        </is>
      </c>
      <c r="AP80" s="49" t="inlineStr">
        <is>
          <t>Fév</t>
        </is>
      </c>
      <c r="AQ80" s="49" t="inlineStr">
        <is>
          <t>Mar</t>
        </is>
      </c>
      <c r="AR80" s="49" t="inlineStr">
        <is>
          <t>Avr</t>
        </is>
      </c>
      <c r="AS80" s="49" t="inlineStr">
        <is>
          <t>Mai</t>
        </is>
      </c>
      <c r="AT80" s="49" t="inlineStr">
        <is>
          <t>Jun</t>
        </is>
      </c>
      <c r="AU80" s="49" t="inlineStr">
        <is>
          <t>Jul</t>
        </is>
      </c>
      <c r="AV80" s="49" t="inlineStr">
        <is>
          <t>Aoû</t>
        </is>
      </c>
      <c r="AW80" s="49" t="inlineStr">
        <is>
          <t>Sep</t>
        </is>
      </c>
      <c r="AX80" s="49" t="inlineStr">
        <is>
          <t>Oct</t>
        </is>
      </c>
      <c r="AY80" s="49" t="inlineStr">
        <is>
          <t>Nov</t>
        </is>
      </c>
      <c r="AZ80" s="49" t="inlineStr">
        <is>
          <t>Déc</t>
        </is>
      </c>
      <c r="BA80" s="50" t="inlineStr">
        <is>
          <t>Total An</t>
        </is>
      </c>
      <c r="BB80" s="49" t="inlineStr">
        <is>
          <t>Jan</t>
        </is>
      </c>
      <c r="BC80" s="49" t="inlineStr">
        <is>
          <t>Fév</t>
        </is>
      </c>
      <c r="BD80" s="49" t="inlineStr">
        <is>
          <t>Mar</t>
        </is>
      </c>
      <c r="BE80" s="49" t="inlineStr">
        <is>
          <t>Avr</t>
        </is>
      </c>
      <c r="BF80" s="49" t="inlineStr">
        <is>
          <t>Mai</t>
        </is>
      </c>
      <c r="BG80" s="49" t="inlineStr">
        <is>
          <t>Jun</t>
        </is>
      </c>
      <c r="BH80" s="49" t="inlineStr">
        <is>
          <t>Jul</t>
        </is>
      </c>
      <c r="BI80" s="49" t="inlineStr">
        <is>
          <t>Aoû</t>
        </is>
      </c>
      <c r="BJ80" s="49" t="inlineStr">
        <is>
          <t>Sep</t>
        </is>
      </c>
      <c r="BK80" s="49" t="inlineStr">
        <is>
          <t>Oct</t>
        </is>
      </c>
      <c r="BL80" s="49" t="inlineStr">
        <is>
          <t>Nov</t>
        </is>
      </c>
      <c r="BM80" s="49" t="inlineStr">
        <is>
          <t>Déc</t>
        </is>
      </c>
      <c r="BN80" s="50" t="inlineStr">
        <is>
          <t>Total An</t>
        </is>
      </c>
    </row>
    <row r="81" ht="15.75" customHeight="1" s="77">
      <c r="A81" s="51" t="inlineStr">
        <is>
          <t>Loyer &amp; Charges Locatives</t>
        </is>
      </c>
      <c r="B81" s="52" t="n">
        <v>1200000</v>
      </c>
      <c r="C81" s="52" t="n">
        <v>1200000</v>
      </c>
      <c r="D81" s="52" t="n">
        <v>1200000</v>
      </c>
      <c r="E81" s="52" t="n">
        <v>1200000</v>
      </c>
      <c r="F81" s="52" t="n">
        <v>1200000</v>
      </c>
      <c r="G81" s="52" t="n">
        <v>1200000</v>
      </c>
      <c r="H81" s="52" t="n">
        <v>1200000</v>
      </c>
      <c r="I81" s="52" t="n">
        <v>1200000</v>
      </c>
      <c r="J81" s="52" t="n">
        <v>1200000</v>
      </c>
      <c r="K81" s="52" t="n">
        <v>1200000</v>
      </c>
      <c r="L81" s="52" t="n">
        <v>1200000</v>
      </c>
      <c r="M81" s="52" t="n">
        <v>1200000</v>
      </c>
      <c r="N81" s="53">
        <f>SUM(B81:M81)</f>
        <v/>
      </c>
      <c r="O81" s="52" t="n">
        <v>1200000</v>
      </c>
      <c r="P81" s="52" t="n">
        <v>1200000</v>
      </c>
      <c r="Q81" s="52" t="n">
        <v>1200000</v>
      </c>
      <c r="R81" s="52" t="n">
        <v>1200000</v>
      </c>
      <c r="S81" s="52" t="n">
        <v>1200000</v>
      </c>
      <c r="T81" s="52" t="n">
        <v>1200000</v>
      </c>
      <c r="U81" s="52" t="n">
        <v>1200000</v>
      </c>
      <c r="V81" s="52" t="n">
        <v>1200000</v>
      </c>
      <c r="W81" s="52" t="n">
        <v>1200000</v>
      </c>
      <c r="X81" s="52" t="n">
        <v>1200000</v>
      </c>
      <c r="Y81" s="52" t="n">
        <v>1200000</v>
      </c>
      <c r="Z81" s="52" t="n">
        <v>1200000</v>
      </c>
      <c r="AA81" s="53">
        <f>SUM(O81:Z81)</f>
        <v/>
      </c>
      <c r="AB81" s="52" t="n">
        <v>1500000</v>
      </c>
      <c r="AC81" s="52" t="n">
        <v>1500000</v>
      </c>
      <c r="AD81" s="52" t="n">
        <v>1500000</v>
      </c>
      <c r="AE81" s="52" t="n">
        <v>1500000</v>
      </c>
      <c r="AF81" s="52" t="n">
        <v>1500000</v>
      </c>
      <c r="AG81" s="52" t="n">
        <v>1500000</v>
      </c>
      <c r="AH81" s="52" t="n">
        <v>1500000</v>
      </c>
      <c r="AI81" s="52" t="n">
        <v>1500000</v>
      </c>
      <c r="AJ81" s="52" t="n">
        <v>1500000</v>
      </c>
      <c r="AK81" s="52" t="n">
        <v>1500000</v>
      </c>
      <c r="AL81" s="52" t="n">
        <v>1500000</v>
      </c>
      <c r="AM81" s="52" t="n">
        <v>1500000</v>
      </c>
      <c r="AN81" s="53">
        <f>SUM(AB81:AM81)</f>
        <v/>
      </c>
      <c r="AO81" s="52" t="n">
        <v>1800000</v>
      </c>
      <c r="AP81" s="52" t="n">
        <v>1800000</v>
      </c>
      <c r="AQ81" s="52" t="n">
        <v>1800000</v>
      </c>
      <c r="AR81" s="52" t="n">
        <v>1800000</v>
      </c>
      <c r="AS81" s="52" t="n">
        <v>1800000</v>
      </c>
      <c r="AT81" s="52" t="n">
        <v>1800000</v>
      </c>
      <c r="AU81" s="52" t="n">
        <v>1800000</v>
      </c>
      <c r="AV81" s="52" t="n">
        <v>1800000</v>
      </c>
      <c r="AW81" s="52" t="n">
        <v>1800000</v>
      </c>
      <c r="AX81" s="52" t="n">
        <v>1800000</v>
      </c>
      <c r="AY81" s="52" t="n">
        <v>1800000</v>
      </c>
      <c r="AZ81" s="52" t="n">
        <v>1800000</v>
      </c>
      <c r="BA81" s="53">
        <f>SUM(AO81:AZ81)</f>
        <v/>
      </c>
      <c r="BB81" s="52" t="n">
        <v>2200000</v>
      </c>
      <c r="BC81" s="52" t="n">
        <v>2200000</v>
      </c>
      <c r="BD81" s="52" t="n">
        <v>2200000</v>
      </c>
      <c r="BE81" s="52" t="n">
        <v>2200000</v>
      </c>
      <c r="BF81" s="52" t="n">
        <v>2200000</v>
      </c>
      <c r="BG81" s="52" t="n">
        <v>2200000</v>
      </c>
      <c r="BH81" s="52" t="n">
        <v>2200000</v>
      </c>
      <c r="BI81" s="52" t="n">
        <v>2200000</v>
      </c>
      <c r="BJ81" s="52" t="n">
        <v>2200000</v>
      </c>
      <c r="BK81" s="52" t="n">
        <v>2200000</v>
      </c>
      <c r="BL81" s="52" t="n">
        <v>2200000</v>
      </c>
      <c r="BM81" s="52" t="n">
        <v>2200000</v>
      </c>
      <c r="BN81" s="53">
        <f>SUM(BB81:BM81)</f>
        <v/>
      </c>
    </row>
    <row r="82" ht="15.75" customHeight="1" s="77">
      <c r="A82" s="51" t="inlineStr">
        <is>
          <t>Électricité &amp; Eau</t>
        </is>
      </c>
      <c r="B82" s="52" t="n">
        <v>684126</v>
      </c>
      <c r="C82" s="52" t="n">
        <v>655119</v>
      </c>
      <c r="D82" s="52" t="n">
        <v>686221</v>
      </c>
      <c r="E82" s="52" t="n">
        <v>653945</v>
      </c>
      <c r="F82" s="52" t="n">
        <v>585074</v>
      </c>
      <c r="G82" s="52" t="n">
        <v>627140</v>
      </c>
      <c r="H82" s="52" t="n">
        <v>587531</v>
      </c>
      <c r="I82" s="52" t="n">
        <v>705782</v>
      </c>
      <c r="J82" s="52" t="n">
        <v>699233</v>
      </c>
      <c r="K82" s="52" t="n">
        <v>693116</v>
      </c>
      <c r="L82" s="52" t="n">
        <v>624976</v>
      </c>
      <c r="M82" s="52" t="n">
        <v>592530</v>
      </c>
      <c r="N82" s="53">
        <f>SUM(B82:M82)</f>
        <v/>
      </c>
      <c r="O82" s="52" t="n">
        <v>860481</v>
      </c>
      <c r="P82" s="52" t="n">
        <v>871511</v>
      </c>
      <c r="Q82" s="52" t="n">
        <v>733704</v>
      </c>
      <c r="R82" s="52" t="n">
        <v>797758</v>
      </c>
      <c r="S82" s="52" t="n">
        <v>731074</v>
      </c>
      <c r="T82" s="52" t="n">
        <v>841696</v>
      </c>
      <c r="U82" s="52" t="n">
        <v>842533</v>
      </c>
      <c r="V82" s="52" t="n">
        <v>740542</v>
      </c>
      <c r="W82" s="52" t="n">
        <v>796045</v>
      </c>
      <c r="X82" s="52" t="n">
        <v>807968</v>
      </c>
      <c r="Y82" s="52" t="n">
        <v>762409</v>
      </c>
      <c r="Z82" s="52" t="n">
        <v>859589</v>
      </c>
      <c r="AA82" s="53">
        <f>SUM(O82:Z82)</f>
        <v/>
      </c>
      <c r="AB82" s="52" t="n">
        <v>935396</v>
      </c>
      <c r="AC82" s="52" t="n">
        <v>895241</v>
      </c>
      <c r="AD82" s="52" t="n">
        <v>957466</v>
      </c>
      <c r="AE82" s="52" t="n">
        <v>993686</v>
      </c>
      <c r="AF82" s="52" t="n">
        <v>893218</v>
      </c>
      <c r="AG82" s="52" t="n">
        <v>914226</v>
      </c>
      <c r="AH82" s="52" t="n">
        <v>1044078</v>
      </c>
      <c r="AI82" s="52" t="n">
        <v>978476</v>
      </c>
      <c r="AJ82" s="52" t="n">
        <v>938239</v>
      </c>
      <c r="AK82" s="52" t="n">
        <v>953339</v>
      </c>
      <c r="AL82" s="52" t="n">
        <v>877990</v>
      </c>
      <c r="AM82" s="52" t="n">
        <v>897692</v>
      </c>
      <c r="AN82" s="53">
        <f>SUM(AB82:AM82)</f>
        <v/>
      </c>
      <c r="AO82" s="52" t="n">
        <v>1064378</v>
      </c>
      <c r="AP82" s="52" t="n">
        <v>1119427</v>
      </c>
      <c r="AQ82" s="52" t="n">
        <v>1040625</v>
      </c>
      <c r="AR82" s="52" t="n">
        <v>1038447</v>
      </c>
      <c r="AS82" s="52" t="n">
        <v>1005618</v>
      </c>
      <c r="AT82" s="52" t="n">
        <v>1128842</v>
      </c>
      <c r="AU82" s="52" t="n">
        <v>1040367</v>
      </c>
      <c r="AV82" s="52" t="n">
        <v>1189192</v>
      </c>
      <c r="AW82" s="52" t="n">
        <v>1179119</v>
      </c>
      <c r="AX82" s="52" t="n">
        <v>1005588</v>
      </c>
      <c r="AY82" s="52" t="n">
        <v>1042361</v>
      </c>
      <c r="AZ82" s="52" t="n">
        <v>1137175</v>
      </c>
      <c r="BA82" s="53">
        <f>SUM(AO82:AZ82)</f>
        <v/>
      </c>
      <c r="BB82" s="52" t="n">
        <v>1225701</v>
      </c>
      <c r="BC82" s="52" t="n">
        <v>1204401</v>
      </c>
      <c r="BD82" s="52" t="n">
        <v>1413233</v>
      </c>
      <c r="BE82" s="52" t="n">
        <v>1318471</v>
      </c>
      <c r="BF82" s="52" t="n">
        <v>1292894</v>
      </c>
      <c r="BG82" s="52" t="n">
        <v>1374001</v>
      </c>
      <c r="BH82" s="52" t="n">
        <v>1379949</v>
      </c>
      <c r="BI82" s="52" t="n">
        <v>1219506</v>
      </c>
      <c r="BJ82" s="52" t="n">
        <v>1195202</v>
      </c>
      <c r="BK82" s="52" t="n">
        <v>1282073</v>
      </c>
      <c r="BL82" s="52" t="n">
        <v>1280130</v>
      </c>
      <c r="BM82" s="52" t="n">
        <v>1291426</v>
      </c>
      <c r="BN82" s="53">
        <f>SUM(BB82:BM82)</f>
        <v/>
      </c>
    </row>
    <row r="83" ht="15.75" customHeight="1" s="77">
      <c r="A83" s="51" t="inlineStr">
        <is>
          <t>Télécommunications &amp; Internet</t>
        </is>
      </c>
      <c r="B83" s="52" t="n"/>
      <c r="C83" s="52" t="n"/>
      <c r="D83" s="52" t="n"/>
      <c r="E83" s="52" t="n"/>
      <c r="F83" s="52" t="n"/>
      <c r="G83" s="52" t="n"/>
      <c r="H83" s="52" t="n"/>
      <c r="I83" s="52" t="n"/>
      <c r="J83" s="52" t="n"/>
      <c r="K83" s="52" t="n"/>
      <c r="L83" s="52" t="n"/>
      <c r="M83" s="52" t="n"/>
      <c r="N83" s="53">
        <f>SUM(B83:M83)</f>
        <v/>
      </c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52" t="n"/>
      <c r="Z83" s="52" t="n"/>
      <c r="AA83" s="53">
        <f>SUM(O83:Z83)</f>
        <v/>
      </c>
      <c r="AB83" s="52" t="n"/>
      <c r="AC83" s="52" t="n"/>
      <c r="AD83" s="52" t="n"/>
      <c r="AE83" s="52" t="n"/>
      <c r="AF83" s="52" t="n"/>
      <c r="AG83" s="52" t="n"/>
      <c r="AH83" s="52" t="n"/>
      <c r="AI83" s="52" t="n"/>
      <c r="AJ83" s="52" t="n"/>
      <c r="AK83" s="52" t="n"/>
      <c r="AL83" s="52" t="n"/>
      <c r="AM83" s="52" t="n"/>
      <c r="AN83" s="53">
        <f>SUM(AB83:AM83)</f>
        <v/>
      </c>
      <c r="AO83" s="52" t="n"/>
      <c r="AP83" s="52" t="n"/>
      <c r="AQ83" s="52" t="n"/>
      <c r="AR83" s="52" t="n"/>
      <c r="AS83" s="52" t="n"/>
      <c r="AT83" s="52" t="n"/>
      <c r="AU83" s="52" t="n"/>
      <c r="AV83" s="52" t="n"/>
      <c r="AW83" s="52" t="n"/>
      <c r="AX83" s="52" t="n"/>
      <c r="AY83" s="52" t="n"/>
      <c r="AZ83" s="52" t="n"/>
      <c r="BA83" s="53">
        <f>SUM(AO83:AZ83)</f>
        <v/>
      </c>
      <c r="BB83" s="52" t="n"/>
      <c r="BC83" s="52" t="n"/>
      <c r="BD83" s="52" t="n"/>
      <c r="BE83" s="52" t="n"/>
      <c r="BF83" s="52" t="n"/>
      <c r="BG83" s="52" t="n"/>
      <c r="BH83" s="52" t="n"/>
      <c r="BI83" s="52" t="n"/>
      <c r="BJ83" s="52" t="n"/>
      <c r="BK83" s="52" t="n"/>
      <c r="BL83" s="52" t="n"/>
      <c r="BM83" s="52" t="n"/>
      <c r="BN83" s="53">
        <f>SUM(BB83:BM83)</f>
        <v/>
      </c>
    </row>
    <row r="84" ht="15.75" customHeight="1" s="77">
      <c r="A84" s="51" t="inlineStr">
        <is>
          <t>Assurances</t>
        </is>
      </c>
      <c r="B84" s="52" t="n"/>
      <c r="C84" s="52" t="n"/>
      <c r="D84" s="52" t="n"/>
      <c r="E84" s="52" t="n"/>
      <c r="F84" s="52" t="n"/>
      <c r="G84" s="52" t="n"/>
      <c r="H84" s="52" t="n"/>
      <c r="I84" s="52" t="n"/>
      <c r="J84" s="52" t="n"/>
      <c r="K84" s="52" t="n"/>
      <c r="L84" s="52" t="n"/>
      <c r="M84" s="52" t="n"/>
      <c r="N84" s="53">
        <f>SUM(B84:M84)</f>
        <v/>
      </c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52" t="n"/>
      <c r="Z84" s="52" t="n"/>
      <c r="AA84" s="53">
        <f>SUM(O84:Z84)</f>
        <v/>
      </c>
      <c r="AB84" s="52" t="n"/>
      <c r="AC84" s="52" t="n"/>
      <c r="AD84" s="52" t="n"/>
      <c r="AE84" s="52" t="n"/>
      <c r="AF84" s="52" t="n"/>
      <c r="AG84" s="52" t="n"/>
      <c r="AH84" s="52" t="n"/>
      <c r="AI84" s="52" t="n"/>
      <c r="AJ84" s="52" t="n"/>
      <c r="AK84" s="52" t="n"/>
      <c r="AL84" s="52" t="n"/>
      <c r="AM84" s="52" t="n"/>
      <c r="AN84" s="53">
        <f>SUM(AB84:AM84)</f>
        <v/>
      </c>
      <c r="AO84" s="52" t="n"/>
      <c r="AP84" s="52" t="n"/>
      <c r="AQ84" s="52" t="n"/>
      <c r="AR84" s="52" t="n"/>
      <c r="AS84" s="52" t="n"/>
      <c r="AT84" s="52" t="n"/>
      <c r="AU84" s="52" t="n"/>
      <c r="AV84" s="52" t="n"/>
      <c r="AW84" s="52" t="n"/>
      <c r="AX84" s="52" t="n"/>
      <c r="AY84" s="52" t="n"/>
      <c r="AZ84" s="52" t="n"/>
      <c r="BA84" s="53">
        <f>SUM(AO84:AZ84)</f>
        <v/>
      </c>
      <c r="BB84" s="52" t="n"/>
      <c r="BC84" s="52" t="n"/>
      <c r="BD84" s="52" t="n"/>
      <c r="BE84" s="52" t="n"/>
      <c r="BF84" s="52" t="n"/>
      <c r="BG84" s="52" t="n"/>
      <c r="BH84" s="52" t="n"/>
      <c r="BI84" s="52" t="n"/>
      <c r="BJ84" s="52" t="n"/>
      <c r="BK84" s="52" t="n"/>
      <c r="BL84" s="52" t="n"/>
      <c r="BM84" s="52" t="n"/>
      <c r="BN84" s="53">
        <f>SUM(BB84:BM84)</f>
        <v/>
      </c>
    </row>
    <row r="85" ht="15.75" customHeight="1" s="77">
      <c r="A85" s="51" t="inlineStr">
        <is>
          <t>Entretien &amp; Maintenance</t>
        </is>
      </c>
      <c r="B85" s="52" t="n"/>
      <c r="C85" s="52" t="n"/>
      <c r="D85" s="52" t="n"/>
      <c r="E85" s="52" t="n"/>
      <c r="F85" s="52" t="n"/>
      <c r="G85" s="52" t="n"/>
      <c r="H85" s="52" t="n"/>
      <c r="I85" s="52" t="n"/>
      <c r="J85" s="52" t="n"/>
      <c r="K85" s="52" t="n"/>
      <c r="L85" s="52" t="n"/>
      <c r="M85" s="52" t="n"/>
      <c r="N85" s="53">
        <f>SUM(B85:M85)</f>
        <v/>
      </c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52" t="n"/>
      <c r="Z85" s="52" t="n"/>
      <c r="AA85" s="53">
        <f>SUM(O85:Z85)</f>
        <v/>
      </c>
      <c r="AB85" s="52" t="n"/>
      <c r="AC85" s="52" t="n"/>
      <c r="AD85" s="52" t="n"/>
      <c r="AE85" s="52" t="n"/>
      <c r="AF85" s="52" t="n"/>
      <c r="AG85" s="52" t="n"/>
      <c r="AH85" s="52" t="n"/>
      <c r="AI85" s="52" t="n"/>
      <c r="AJ85" s="52" t="n"/>
      <c r="AK85" s="52" t="n"/>
      <c r="AL85" s="52" t="n"/>
      <c r="AM85" s="52" t="n"/>
      <c r="AN85" s="53">
        <f>SUM(AB85:AM85)</f>
        <v/>
      </c>
      <c r="AO85" s="52" t="n"/>
      <c r="AP85" s="52" t="n"/>
      <c r="AQ85" s="52" t="n"/>
      <c r="AR85" s="52" t="n"/>
      <c r="AS85" s="52" t="n"/>
      <c r="AT85" s="52" t="n"/>
      <c r="AU85" s="52" t="n"/>
      <c r="AV85" s="52" t="n"/>
      <c r="AW85" s="52" t="n"/>
      <c r="AX85" s="52" t="n"/>
      <c r="AY85" s="52" t="n"/>
      <c r="AZ85" s="52" t="n"/>
      <c r="BA85" s="53">
        <f>SUM(AO85:AZ85)</f>
        <v/>
      </c>
      <c r="BB85" s="52" t="n"/>
      <c r="BC85" s="52" t="n"/>
      <c r="BD85" s="52" t="n"/>
      <c r="BE85" s="52" t="n"/>
      <c r="BF85" s="52" t="n"/>
      <c r="BG85" s="52" t="n"/>
      <c r="BH85" s="52" t="n"/>
      <c r="BI85" s="52" t="n"/>
      <c r="BJ85" s="52" t="n"/>
      <c r="BK85" s="52" t="n"/>
      <c r="BL85" s="52" t="n"/>
      <c r="BM85" s="52" t="n"/>
      <c r="BN85" s="53">
        <f>SUM(BB85:BM85)</f>
        <v/>
      </c>
    </row>
    <row r="86" ht="15.75" customHeight="1" s="77">
      <c r="A86" s="51" t="inlineStr">
        <is>
          <t>Marketing &amp; Communication</t>
        </is>
      </c>
      <c r="B86" s="52" t="n">
        <v>250000</v>
      </c>
      <c r="C86" s="52" t="n">
        <v>250000</v>
      </c>
      <c r="D86" s="52" t="n">
        <v>250000</v>
      </c>
      <c r="E86" s="52" t="n">
        <v>250000</v>
      </c>
      <c r="F86" s="52" t="n">
        <v>250000</v>
      </c>
      <c r="G86" s="52" t="n">
        <v>250000</v>
      </c>
      <c r="H86" s="52" t="n">
        <v>250000</v>
      </c>
      <c r="I86" s="52" t="n">
        <v>250000</v>
      </c>
      <c r="J86" s="52" t="n">
        <v>250000</v>
      </c>
      <c r="K86" s="52" t="n">
        <v>250000</v>
      </c>
      <c r="L86" s="52" t="n">
        <v>250000</v>
      </c>
      <c r="M86" s="52" t="n">
        <v>250000</v>
      </c>
      <c r="N86" s="53">
        <f>SUM(B86:M86)</f>
        <v/>
      </c>
      <c r="O86" s="52" t="n">
        <v>350000</v>
      </c>
      <c r="P86" s="52" t="n">
        <v>350000</v>
      </c>
      <c r="Q86" s="52" t="n">
        <v>350000</v>
      </c>
      <c r="R86" s="52" t="n">
        <v>350000</v>
      </c>
      <c r="S86" s="52" t="n">
        <v>350000</v>
      </c>
      <c r="T86" s="52" t="n">
        <v>350000</v>
      </c>
      <c r="U86" s="52" t="n">
        <v>350000</v>
      </c>
      <c r="V86" s="52" t="n">
        <v>350000</v>
      </c>
      <c r="W86" s="52" t="n">
        <v>350000</v>
      </c>
      <c r="X86" s="52" t="n">
        <v>350000</v>
      </c>
      <c r="Y86" s="52" t="n">
        <v>350000</v>
      </c>
      <c r="Z86" s="52" t="n">
        <v>350000</v>
      </c>
      <c r="AA86" s="53">
        <f>SUM(O86:Z86)</f>
        <v/>
      </c>
      <c r="AB86" s="52" t="n">
        <v>500000</v>
      </c>
      <c r="AC86" s="52" t="n">
        <v>500000</v>
      </c>
      <c r="AD86" s="52" t="n">
        <v>500000</v>
      </c>
      <c r="AE86" s="52" t="n">
        <v>500000</v>
      </c>
      <c r="AF86" s="52" t="n">
        <v>500000</v>
      </c>
      <c r="AG86" s="52" t="n">
        <v>500000</v>
      </c>
      <c r="AH86" s="52" t="n">
        <v>500000</v>
      </c>
      <c r="AI86" s="52" t="n">
        <v>500000</v>
      </c>
      <c r="AJ86" s="52" t="n">
        <v>500000</v>
      </c>
      <c r="AK86" s="52" t="n">
        <v>500000</v>
      </c>
      <c r="AL86" s="52" t="n">
        <v>500000</v>
      </c>
      <c r="AM86" s="52" t="n">
        <v>500000</v>
      </c>
      <c r="AN86" s="53">
        <f>SUM(AB86:AM86)</f>
        <v/>
      </c>
      <c r="AO86" s="52" t="n">
        <v>650000</v>
      </c>
      <c r="AP86" s="52" t="n">
        <v>650000</v>
      </c>
      <c r="AQ86" s="52" t="n">
        <v>650000</v>
      </c>
      <c r="AR86" s="52" t="n">
        <v>650000</v>
      </c>
      <c r="AS86" s="52" t="n">
        <v>650000</v>
      </c>
      <c r="AT86" s="52" t="n">
        <v>650000</v>
      </c>
      <c r="AU86" s="52" t="n">
        <v>650000</v>
      </c>
      <c r="AV86" s="52" t="n">
        <v>650000</v>
      </c>
      <c r="AW86" s="52" t="n">
        <v>650000</v>
      </c>
      <c r="AX86" s="52" t="n">
        <v>650000</v>
      </c>
      <c r="AY86" s="52" t="n">
        <v>650000</v>
      </c>
      <c r="AZ86" s="52" t="n">
        <v>650000</v>
      </c>
      <c r="BA86" s="53">
        <f>SUM(AO86:AZ86)</f>
        <v/>
      </c>
      <c r="BB86" s="52" t="n">
        <v>800000</v>
      </c>
      <c r="BC86" s="52" t="n">
        <v>800000</v>
      </c>
      <c r="BD86" s="52" t="n">
        <v>800000</v>
      </c>
      <c r="BE86" s="52" t="n">
        <v>800000</v>
      </c>
      <c r="BF86" s="52" t="n">
        <v>800000</v>
      </c>
      <c r="BG86" s="52" t="n">
        <v>800000</v>
      </c>
      <c r="BH86" s="52" t="n">
        <v>800000</v>
      </c>
      <c r="BI86" s="52" t="n">
        <v>800000</v>
      </c>
      <c r="BJ86" s="52" t="n">
        <v>800000</v>
      </c>
      <c r="BK86" s="52" t="n">
        <v>800000</v>
      </c>
      <c r="BL86" s="52" t="n">
        <v>800000</v>
      </c>
      <c r="BM86" s="52" t="n">
        <v>800000</v>
      </c>
      <c r="BN86" s="53">
        <f>SUM(BB86:BM86)</f>
        <v/>
      </c>
    </row>
    <row r="87" ht="15.75" customHeight="1" s="77">
      <c r="A87" s="51" t="inlineStr">
        <is>
          <t>Frais Administratifs</t>
        </is>
      </c>
      <c r="B87" s="52" t="n"/>
      <c r="C87" s="52" t="n"/>
      <c r="D87" s="52" t="n"/>
      <c r="E87" s="52" t="n"/>
      <c r="F87" s="52" t="n"/>
      <c r="G87" s="52" t="n"/>
      <c r="H87" s="52" t="n"/>
      <c r="I87" s="52" t="n"/>
      <c r="J87" s="52" t="n"/>
      <c r="K87" s="52" t="n"/>
      <c r="L87" s="52" t="n"/>
      <c r="M87" s="52" t="n"/>
      <c r="N87" s="53">
        <f>SUM(B87:M87)</f>
        <v/>
      </c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52" t="n"/>
      <c r="Z87" s="52" t="n"/>
      <c r="AA87" s="53">
        <f>SUM(O87:Z87)</f>
        <v/>
      </c>
      <c r="AB87" s="52" t="n"/>
      <c r="AC87" s="52" t="n"/>
      <c r="AD87" s="52" t="n"/>
      <c r="AE87" s="52" t="n"/>
      <c r="AF87" s="52" t="n"/>
      <c r="AG87" s="52" t="n"/>
      <c r="AH87" s="52" t="n"/>
      <c r="AI87" s="52" t="n"/>
      <c r="AJ87" s="52" t="n"/>
      <c r="AK87" s="52" t="n"/>
      <c r="AL87" s="52" t="n"/>
      <c r="AM87" s="52" t="n"/>
      <c r="AN87" s="53">
        <f>SUM(AB87:AM87)</f>
        <v/>
      </c>
      <c r="AO87" s="52" t="n"/>
      <c r="AP87" s="52" t="n"/>
      <c r="AQ87" s="52" t="n"/>
      <c r="AR87" s="52" t="n"/>
      <c r="AS87" s="52" t="n"/>
      <c r="AT87" s="52" t="n"/>
      <c r="AU87" s="52" t="n"/>
      <c r="AV87" s="52" t="n"/>
      <c r="AW87" s="52" t="n"/>
      <c r="AX87" s="52" t="n"/>
      <c r="AY87" s="52" t="n"/>
      <c r="AZ87" s="52" t="n"/>
      <c r="BA87" s="53">
        <f>SUM(AO87:AZ87)</f>
        <v/>
      </c>
      <c r="BB87" s="52" t="n"/>
      <c r="BC87" s="52" t="n"/>
      <c r="BD87" s="52" t="n"/>
      <c r="BE87" s="52" t="n"/>
      <c r="BF87" s="52" t="n"/>
      <c r="BG87" s="52" t="n"/>
      <c r="BH87" s="52" t="n"/>
      <c r="BI87" s="52" t="n"/>
      <c r="BJ87" s="52" t="n"/>
      <c r="BK87" s="52" t="n"/>
      <c r="BL87" s="52" t="n"/>
      <c r="BM87" s="52" t="n"/>
      <c r="BN87" s="53">
        <f>SUM(BB87:BM87)</f>
        <v/>
      </c>
    </row>
    <row r="88" ht="15.75" customHeight="1" s="77">
      <c r="A88" s="51" t="inlineStr">
        <is>
          <t>Autres Coûts Fixes</t>
        </is>
      </c>
      <c r="B88" s="52" t="n"/>
      <c r="C88" s="52" t="n"/>
      <c r="D88" s="52" t="n"/>
      <c r="E88" s="52" t="n"/>
      <c r="F88" s="52" t="n"/>
      <c r="G88" s="52" t="n"/>
      <c r="H88" s="52" t="n"/>
      <c r="I88" s="52" t="n"/>
      <c r="J88" s="52" t="n"/>
      <c r="K88" s="52" t="n"/>
      <c r="L88" s="52" t="n"/>
      <c r="M88" s="52" t="n"/>
      <c r="N88" s="53">
        <f>SUM(B88:M88)</f>
        <v/>
      </c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52" t="n"/>
      <c r="Z88" s="52" t="n"/>
      <c r="AA88" s="53">
        <f>SUM(O88:Z88)</f>
        <v/>
      </c>
      <c r="AB88" s="52" t="n"/>
      <c r="AC88" s="52" t="n"/>
      <c r="AD88" s="52" t="n"/>
      <c r="AE88" s="52" t="n"/>
      <c r="AF88" s="52" t="n"/>
      <c r="AG88" s="52" t="n"/>
      <c r="AH88" s="52" t="n"/>
      <c r="AI88" s="52" t="n"/>
      <c r="AJ88" s="52" t="n"/>
      <c r="AK88" s="52" t="n"/>
      <c r="AL88" s="52" t="n"/>
      <c r="AM88" s="52" t="n"/>
      <c r="AN88" s="53">
        <f>SUM(AB88:AM88)</f>
        <v/>
      </c>
      <c r="AO88" s="52" t="n"/>
      <c r="AP88" s="52" t="n"/>
      <c r="AQ88" s="52" t="n"/>
      <c r="AR88" s="52" t="n"/>
      <c r="AS88" s="52" t="n"/>
      <c r="AT88" s="52" t="n"/>
      <c r="AU88" s="52" t="n"/>
      <c r="AV88" s="52" t="n"/>
      <c r="AW88" s="52" t="n"/>
      <c r="AX88" s="52" t="n"/>
      <c r="AY88" s="52" t="n"/>
      <c r="AZ88" s="52" t="n"/>
      <c r="BA88" s="53">
        <f>SUM(AO88:AZ88)</f>
        <v/>
      </c>
      <c r="BB88" s="52" t="n"/>
      <c r="BC88" s="52" t="n"/>
      <c r="BD88" s="52" t="n"/>
      <c r="BE88" s="52" t="n"/>
      <c r="BF88" s="52" t="n"/>
      <c r="BG88" s="52" t="n"/>
      <c r="BH88" s="52" t="n"/>
      <c r="BI88" s="52" t="n"/>
      <c r="BJ88" s="52" t="n"/>
      <c r="BK88" s="52" t="n"/>
      <c r="BL88" s="52" t="n"/>
      <c r="BM88" s="52" t="n"/>
      <c r="BN88" s="53">
        <f>SUM(BB88:BM88)</f>
        <v/>
      </c>
    </row>
    <row r="89" ht="15.75" customHeight="1" s="77">
      <c r="A89" s="54" t="inlineStr">
        <is>
          <t>TOTAL</t>
        </is>
      </c>
      <c r="B89" s="53">
        <f>SUM(B81:B88)</f>
        <v/>
      </c>
      <c r="C89" s="53">
        <f>SUM(C81:C88)</f>
        <v/>
      </c>
      <c r="D89" s="53">
        <f>SUM(D81:D88)</f>
        <v/>
      </c>
      <c r="E89" s="53">
        <f>SUM(E81:E88)</f>
        <v/>
      </c>
      <c r="F89" s="53">
        <f>SUM(F81:F88)</f>
        <v/>
      </c>
      <c r="G89" s="53">
        <f>SUM(G81:G88)</f>
        <v/>
      </c>
      <c r="H89" s="53">
        <f>SUM(H81:H88)</f>
        <v/>
      </c>
      <c r="I89" s="53">
        <f>SUM(I81:I88)</f>
        <v/>
      </c>
      <c r="J89" s="53">
        <f>SUM(J81:J88)</f>
        <v/>
      </c>
      <c r="K89" s="53">
        <f>SUM(K81:K88)</f>
        <v/>
      </c>
      <c r="L89" s="53">
        <f>SUM(L81:L88)</f>
        <v/>
      </c>
      <c r="M89" s="53">
        <f>SUM(M81:M88)</f>
        <v/>
      </c>
      <c r="N89" s="55">
        <f>SUM(B89:M89)</f>
        <v/>
      </c>
      <c r="O89" s="53">
        <f>SUM(O81:O88)</f>
        <v/>
      </c>
      <c r="P89" s="53">
        <f>SUM(P81:P88)</f>
        <v/>
      </c>
      <c r="Q89" s="53">
        <f>SUM(Q81:Q88)</f>
        <v/>
      </c>
      <c r="R89" s="53">
        <f>SUM(R81:R88)</f>
        <v/>
      </c>
      <c r="S89" s="53">
        <f>SUM(S81:S88)</f>
        <v/>
      </c>
      <c r="T89" s="53">
        <f>SUM(T81:T88)</f>
        <v/>
      </c>
      <c r="U89" s="53">
        <f>SUM(U81:U88)</f>
        <v/>
      </c>
      <c r="V89" s="53">
        <f>SUM(V81:V88)</f>
        <v/>
      </c>
      <c r="W89" s="53">
        <f>SUM(W81:W88)</f>
        <v/>
      </c>
      <c r="X89" s="53">
        <f>SUM(X81:X88)</f>
        <v/>
      </c>
      <c r="Y89" s="53">
        <f>SUM(Y81:Y88)</f>
        <v/>
      </c>
      <c r="Z89" s="53">
        <f>SUM(Z81:Z88)</f>
        <v/>
      </c>
      <c r="AA89" s="55">
        <f>SUM(O89:Z89)</f>
        <v/>
      </c>
      <c r="AB89" s="53">
        <f>SUM(AB81:AB88)</f>
        <v/>
      </c>
      <c r="AC89" s="53">
        <f>SUM(AC81:AC88)</f>
        <v/>
      </c>
      <c r="AD89" s="53">
        <f>SUM(AD81:AD88)</f>
        <v/>
      </c>
      <c r="AE89" s="53">
        <f>SUM(AE81:AE88)</f>
        <v/>
      </c>
      <c r="AF89" s="53">
        <f>SUM(AF81:AF88)</f>
        <v/>
      </c>
      <c r="AG89" s="53">
        <f>SUM(AG81:AG88)</f>
        <v/>
      </c>
      <c r="AH89" s="53">
        <f>SUM(AH81:AH88)</f>
        <v/>
      </c>
      <c r="AI89" s="53">
        <f>SUM(AI81:AI88)</f>
        <v/>
      </c>
      <c r="AJ89" s="53">
        <f>SUM(AJ81:AJ88)</f>
        <v/>
      </c>
      <c r="AK89" s="53">
        <f>SUM(AK81:AK88)</f>
        <v/>
      </c>
      <c r="AL89" s="53">
        <f>SUM(AL81:AL88)</f>
        <v/>
      </c>
      <c r="AM89" s="53">
        <f>SUM(AM81:AM88)</f>
        <v/>
      </c>
      <c r="AN89" s="55">
        <f>SUM(AB89:AM89)</f>
        <v/>
      </c>
      <c r="AO89" s="53">
        <f>SUM(AO81:AO88)</f>
        <v/>
      </c>
      <c r="AP89" s="53">
        <f>SUM(AP81:AP88)</f>
        <v/>
      </c>
      <c r="AQ89" s="53">
        <f>SUM(AQ81:AQ88)</f>
        <v/>
      </c>
      <c r="AR89" s="53">
        <f>SUM(AR81:AR88)</f>
        <v/>
      </c>
      <c r="AS89" s="53">
        <f>SUM(AS81:AS88)</f>
        <v/>
      </c>
      <c r="AT89" s="53">
        <f>SUM(AT81:AT88)</f>
        <v/>
      </c>
      <c r="AU89" s="53">
        <f>SUM(AU81:AU88)</f>
        <v/>
      </c>
      <c r="AV89" s="53">
        <f>SUM(AV81:AV88)</f>
        <v/>
      </c>
      <c r="AW89" s="53">
        <f>SUM(AW81:AW88)</f>
        <v/>
      </c>
      <c r="AX89" s="53">
        <f>SUM(AX81:AX88)</f>
        <v/>
      </c>
      <c r="AY89" s="53">
        <f>SUM(AY81:AY88)</f>
        <v/>
      </c>
      <c r="AZ89" s="53">
        <f>SUM(AZ81:AZ88)</f>
        <v/>
      </c>
      <c r="BA89" s="55">
        <f>SUM(AO89:AZ89)</f>
        <v/>
      </c>
      <c r="BB89" s="53">
        <f>SUM(BB81:BB88)</f>
        <v/>
      </c>
      <c r="BC89" s="53">
        <f>SUM(BC81:BC88)</f>
        <v/>
      </c>
      <c r="BD89" s="53">
        <f>SUM(BD81:BD88)</f>
        <v/>
      </c>
      <c r="BE89" s="53">
        <f>SUM(BE81:BE88)</f>
        <v/>
      </c>
      <c r="BF89" s="53">
        <f>SUM(BF81:BF88)</f>
        <v/>
      </c>
      <c r="BG89" s="53">
        <f>SUM(BG81:BG88)</f>
        <v/>
      </c>
      <c r="BH89" s="53">
        <f>SUM(BH81:BH88)</f>
        <v/>
      </c>
      <c r="BI89" s="53">
        <f>SUM(BI81:BI88)</f>
        <v/>
      </c>
      <c r="BJ89" s="53">
        <f>SUM(BJ81:BJ88)</f>
        <v/>
      </c>
      <c r="BK89" s="53">
        <f>SUM(BK81:BK88)</f>
        <v/>
      </c>
      <c r="BL89" s="53">
        <f>SUM(BL81:BL88)</f>
        <v/>
      </c>
      <c r="BM89" s="53">
        <f>SUM(BM81:BM88)</f>
        <v/>
      </c>
      <c r="BN89" s="55">
        <f>SUM(BB89:BM89)</f>
        <v/>
      </c>
    </row>
    <row r="90" ht="15.75" customHeight="1" s="77"/>
    <row r="91" ht="15.75" customHeight="1" s="77">
      <c r="A91" s="86" t="inlineStr">
        <is>
          <t>💡 Conseil : Saisissez les montants mois par mois pour refléter les variations saisonnières. Les totaux se calculent automatiquement.</t>
        </is>
      </c>
    </row>
    <row r="92" ht="15.75" customHeight="1" s="77"/>
    <row r="93" ht="15.75" customHeight="1" s="77"/>
    <row r="94" ht="15.75" customHeight="1" s="77"/>
    <row r="95" ht="15.75" customHeight="1" s="77"/>
    <row r="96" ht="15.75" customHeight="1" s="77"/>
    <row r="97" ht="15.75" customHeight="1" s="77"/>
    <row r="98" ht="15.75" customHeight="1" s="77"/>
    <row r="99" ht="15.75" customHeight="1" s="77"/>
    <row r="100" ht="15.75" customHeight="1" s="77"/>
    <row r="101" ht="15.75" customHeight="1" s="77"/>
    <row r="102" ht="15.75" customHeight="1" s="77"/>
    <row r="103" ht="15.75" customHeight="1" s="77"/>
    <row r="104" ht="15.75" customHeight="1" s="77"/>
    <row r="105" ht="15.75" customHeight="1" s="77"/>
    <row r="106" ht="15.75" customHeight="1" s="77"/>
    <row r="107" ht="15.75" customHeight="1" s="77"/>
    <row r="108" ht="15.75" customHeight="1" s="77"/>
    <row r="109" ht="15.75" customHeight="1" s="77"/>
    <row r="110" ht="15.75" customHeight="1" s="77"/>
    <row r="111" ht="15.75" customHeight="1" s="77"/>
    <row r="112" ht="15.75" customHeight="1" s="77"/>
    <row r="113" ht="15.75" customHeight="1" s="77"/>
    <row r="114" ht="15.75" customHeight="1" s="77"/>
    <row r="115" ht="15.75" customHeight="1" s="77"/>
    <row r="116" ht="15.75" customHeight="1" s="77"/>
    <row r="117" ht="15.75" customHeight="1" s="77"/>
    <row r="118" ht="15.75" customHeight="1" s="77"/>
    <row r="119" ht="15.75" customHeight="1" s="77"/>
    <row r="120" ht="15.75" customHeight="1" s="77"/>
    <row r="121" ht="15.75" customHeight="1" s="77"/>
    <row r="122" ht="15.75" customHeight="1" s="77"/>
    <row r="123" ht="15.75" customHeight="1" s="77"/>
    <row r="124" ht="15.75" customHeight="1" s="77"/>
    <row r="125" ht="15.75" customHeight="1" s="77"/>
    <row r="126" ht="15.75" customHeight="1" s="77"/>
    <row r="127" ht="15.75" customHeight="1" s="77"/>
    <row r="128" ht="15.75" customHeight="1" s="77"/>
    <row r="129" ht="15.75" customHeight="1" s="77"/>
    <row r="130" ht="15.75" customHeight="1" s="77"/>
    <row r="131" ht="15.75" customHeight="1" s="77"/>
    <row r="132" ht="15.75" customHeight="1" s="77"/>
    <row r="133" ht="15.75" customHeight="1" s="77"/>
    <row r="134" ht="15.75" customHeight="1" s="77"/>
    <row r="135" ht="15.75" customHeight="1" s="77"/>
    <row r="136" ht="15.75" customHeight="1" s="77"/>
    <row r="137" ht="15.75" customHeight="1" s="77"/>
    <row r="138" ht="15.75" customHeight="1" s="77"/>
    <row r="139" ht="15.75" customHeight="1" s="77"/>
    <row r="140" ht="15.75" customHeight="1" s="77"/>
    <row r="141" ht="15.75" customHeight="1" s="77"/>
    <row r="142" ht="15.75" customHeight="1" s="77"/>
    <row r="143" ht="15.75" customHeight="1" s="77"/>
    <row r="144" ht="15.75" customHeight="1" s="77"/>
    <row r="145" ht="15.75" customHeight="1" s="77"/>
    <row r="146" ht="15.75" customHeight="1" s="77"/>
    <row r="147" ht="15.75" customHeight="1" s="77"/>
    <row r="148" ht="15.75" customHeight="1" s="77"/>
    <row r="149" ht="15.75" customHeight="1" s="77"/>
    <row r="150" ht="15.75" customHeight="1" s="77"/>
    <row r="151" ht="15.75" customHeight="1" s="77"/>
    <row r="152" ht="15.75" customHeight="1" s="77"/>
    <row r="153" ht="15.75" customHeight="1" s="77"/>
    <row r="154" ht="15.75" customHeight="1" s="77"/>
    <row r="155" ht="15.75" customHeight="1" s="77"/>
    <row r="156" ht="15.75" customHeight="1" s="77"/>
    <row r="157" ht="15.75" customHeight="1" s="77"/>
    <row r="158" ht="15.75" customHeight="1" s="77"/>
    <row r="159" ht="15.75" customHeight="1" s="77"/>
    <row r="160" ht="15.75" customHeight="1" s="77"/>
    <row r="161" ht="15.75" customHeight="1" s="77"/>
    <row r="162" ht="15.75" customHeight="1" s="77"/>
    <row r="163" ht="15.75" customHeight="1" s="77"/>
    <row r="164" ht="15.75" customHeight="1" s="77"/>
    <row r="165" ht="15.75" customHeight="1" s="77"/>
    <row r="166" ht="15.75" customHeight="1" s="77"/>
    <row r="167" ht="15.75" customHeight="1" s="77"/>
    <row r="168" ht="15.75" customHeight="1" s="77"/>
    <row r="169" ht="15.75" customHeight="1" s="77"/>
    <row r="170" ht="15.75" customHeight="1" s="77"/>
    <row r="171" ht="15.75" customHeight="1" s="77"/>
    <row r="172" ht="15.75" customHeight="1" s="77"/>
    <row r="173" ht="15.75" customHeight="1" s="77"/>
    <row r="174" ht="15.75" customHeight="1" s="77"/>
    <row r="175" ht="15.75" customHeight="1" s="77"/>
    <row r="176" ht="15.75" customHeight="1" s="77"/>
    <row r="177" ht="15.75" customHeight="1" s="77"/>
    <row r="178" ht="15.75" customHeight="1" s="77"/>
    <row r="179" ht="15.75" customHeight="1" s="77"/>
    <row r="180" ht="15.75" customHeight="1" s="77"/>
    <row r="181" ht="15.75" customHeight="1" s="77"/>
    <row r="182" ht="15.75" customHeight="1" s="77"/>
    <row r="183" ht="15.75" customHeight="1" s="77"/>
    <row r="184" ht="15.75" customHeight="1" s="77"/>
    <row r="185" ht="15.75" customHeight="1" s="77"/>
    <row r="186" ht="15.75" customHeight="1" s="77"/>
    <row r="187" ht="15.75" customHeight="1" s="77"/>
    <row r="188" ht="15.75" customHeight="1" s="77"/>
    <row r="189" ht="15.75" customHeight="1" s="77"/>
    <row r="190" ht="15.75" customHeight="1" s="77"/>
    <row r="191" ht="15.75" customHeight="1" s="77"/>
    <row r="192" ht="15.75" customHeight="1" s="77"/>
    <row r="193" ht="15.75" customHeight="1" s="77"/>
    <row r="194" ht="15.75" customHeight="1" s="77"/>
    <row r="195" ht="15.75" customHeight="1" s="77"/>
    <row r="196" ht="15.75" customHeight="1" s="77"/>
    <row r="197" ht="15.75" customHeight="1" s="77"/>
    <row r="198" ht="15.75" customHeight="1" s="77"/>
    <row r="199" ht="15.75" customHeight="1" s="77"/>
    <row r="200" ht="15.75" customHeight="1" s="77"/>
    <row r="201" ht="15.75" customHeight="1" s="77"/>
    <row r="202" ht="15.75" customHeight="1" s="77"/>
    <row r="203" ht="15.75" customHeight="1" s="77"/>
    <row r="204" ht="15.75" customHeight="1" s="77"/>
    <row r="205" ht="15.75" customHeight="1" s="77"/>
    <row r="206" ht="15.75" customHeight="1" s="77"/>
    <row r="207" ht="15.75" customHeight="1" s="77"/>
    <row r="208" ht="15.75" customHeight="1" s="77"/>
    <row r="209" ht="15.75" customHeight="1" s="77"/>
    <row r="210" ht="15.75" customHeight="1" s="77"/>
    <row r="211" ht="15.75" customHeight="1" s="77"/>
    <row r="212" ht="15.75" customHeight="1" s="77"/>
    <row r="213" ht="15.75" customHeight="1" s="77"/>
    <row r="214" ht="15.75" customHeight="1" s="77"/>
    <row r="215" ht="15.75" customHeight="1" s="77"/>
    <row r="216" ht="15.75" customHeight="1" s="77"/>
    <row r="217" ht="15.75" customHeight="1" s="77"/>
    <row r="218" ht="15.75" customHeight="1" s="77"/>
    <row r="219" ht="15.75" customHeight="1" s="77"/>
    <row r="220" ht="15.75" customHeight="1" s="77"/>
    <row r="221" ht="15.75" customHeight="1" s="77"/>
    <row r="222" ht="15.75" customHeight="1" s="77"/>
    <row r="223" ht="15.75" customHeight="1" s="77"/>
    <row r="224" ht="15.75" customHeight="1" s="77"/>
    <row r="225" ht="15.75" customHeight="1" s="77"/>
    <row r="226" ht="15.75" customHeight="1" s="77"/>
    <row r="227" ht="15.75" customHeight="1" s="77"/>
    <row r="228" ht="15.75" customHeight="1" s="77"/>
    <row r="229" ht="15.75" customHeight="1" s="77"/>
    <row r="230" ht="15.75" customHeight="1" s="77"/>
    <row r="231" ht="15.75" customHeight="1" s="77"/>
    <row r="232" ht="15.75" customHeight="1" s="77"/>
    <row r="233" ht="15.75" customHeight="1" s="77"/>
    <row r="234" ht="15.75" customHeight="1" s="77"/>
    <row r="235" ht="15.75" customHeight="1" s="77"/>
    <row r="236" ht="15.75" customHeight="1" s="77"/>
    <row r="237" ht="15.75" customHeight="1" s="77"/>
    <row r="238" ht="15.75" customHeight="1" s="77"/>
    <row r="239" ht="15.75" customHeight="1" s="77"/>
    <row r="240" ht="15.75" customHeight="1" s="77"/>
    <row r="241" ht="15.75" customHeight="1" s="77"/>
    <row r="242" ht="15.75" customHeight="1" s="77"/>
    <row r="243" ht="15.75" customHeight="1" s="77"/>
    <row r="244" ht="15.75" customHeight="1" s="77"/>
    <row r="245" ht="15.75" customHeight="1" s="77"/>
    <row r="246" ht="15.75" customHeight="1" s="77"/>
    <row r="247" ht="15.75" customHeight="1" s="77"/>
    <row r="248" ht="15.75" customHeight="1" s="77"/>
    <row r="249" ht="15.75" customHeight="1" s="77"/>
    <row r="250" ht="15.75" customHeight="1" s="77"/>
    <row r="251" ht="15.75" customHeight="1" s="77"/>
    <row r="252" ht="15.75" customHeight="1" s="77"/>
    <row r="253" ht="15.75" customHeight="1" s="77"/>
    <row r="254" ht="15.75" customHeight="1" s="77"/>
    <row r="255" ht="15.75" customHeight="1" s="77"/>
    <row r="256" ht="15.75" customHeight="1" s="77"/>
    <row r="257" ht="15.75" customHeight="1" s="77"/>
    <row r="258" ht="15.75" customHeight="1" s="77"/>
    <row r="259" ht="15.75" customHeight="1" s="77"/>
    <row r="260" ht="15.75" customHeight="1" s="77"/>
    <row r="261" ht="15.75" customHeight="1" s="77"/>
    <row r="262" ht="15.75" customHeight="1" s="77"/>
    <row r="263" ht="15.75" customHeight="1" s="77"/>
    <row r="264" ht="15.75" customHeight="1" s="77"/>
    <row r="265" ht="15.75" customHeight="1" s="77"/>
    <row r="266" ht="15.75" customHeight="1" s="77"/>
    <row r="267" ht="15.75" customHeight="1" s="77"/>
    <row r="268" ht="15.75" customHeight="1" s="77"/>
    <row r="269" ht="15.75" customHeight="1" s="77"/>
    <row r="270" ht="15.75" customHeight="1" s="77"/>
    <row r="271" ht="15.75" customHeight="1" s="77"/>
    <row r="272" ht="15.75" customHeight="1" s="77"/>
    <row r="273" ht="15.75" customHeight="1" s="77"/>
    <row r="274" ht="15.75" customHeight="1" s="77"/>
    <row r="275" ht="15.75" customHeight="1" s="77"/>
    <row r="276" ht="15.75" customHeight="1" s="77"/>
    <row r="277" ht="15.75" customHeight="1" s="77"/>
    <row r="278" ht="15.75" customHeight="1" s="77"/>
    <row r="279" ht="15.75" customHeight="1" s="77"/>
    <row r="280" ht="15.75" customHeight="1" s="77"/>
    <row r="281" ht="15.75" customHeight="1" s="77"/>
    <row r="282" ht="15.75" customHeight="1" s="77"/>
    <row r="283" ht="15.75" customHeight="1" s="77"/>
    <row r="284" ht="15.75" customHeight="1" s="77"/>
    <row r="285" ht="15.75" customHeight="1" s="77"/>
    <row r="286" ht="15.75" customHeight="1" s="77"/>
    <row r="287" ht="15.75" customHeight="1" s="77"/>
    <row r="288" ht="15.75" customHeight="1" s="77"/>
    <row r="289" ht="15.75" customHeight="1" s="77"/>
    <row r="290" ht="15.75" customHeight="1" s="77"/>
    <row r="291" ht="15.75" customHeight="1" s="77"/>
    <row r="292" ht="15.75" customHeight="1" s="77"/>
    <row r="293" ht="15.75" customHeight="1" s="77"/>
    <row r="294" ht="15.75" customHeight="1" s="77"/>
    <row r="295" ht="15.75" customHeight="1" s="77"/>
    <row r="296" ht="15.75" customHeight="1" s="77"/>
    <row r="297" ht="15.75" customHeight="1" s="77"/>
    <row r="298" ht="15.75" customHeight="1" s="77"/>
    <row r="299" ht="15.75" customHeight="1" s="77"/>
    <row r="300" ht="15.75" customHeight="1" s="77"/>
    <row r="301" ht="15.75" customHeight="1" s="77"/>
    <row r="302" ht="15.75" customHeight="1" s="77"/>
    <row r="303" ht="15.75" customHeight="1" s="77"/>
    <row r="304" ht="15.75" customHeight="1" s="77"/>
    <row r="305" ht="15.75" customHeight="1" s="77"/>
    <row r="306" ht="15.75" customHeight="1" s="77"/>
    <row r="307" ht="15.75" customHeight="1" s="77"/>
    <row r="308" ht="15.75" customHeight="1" s="77"/>
    <row r="309" ht="15.75" customHeight="1" s="77"/>
    <row r="310" ht="15.75" customHeight="1" s="77"/>
    <row r="311" ht="15.75" customHeight="1" s="77"/>
    <row r="312" ht="15.75" customHeight="1" s="77"/>
    <row r="313" ht="15.75" customHeight="1" s="77"/>
    <row r="314" ht="15.75" customHeight="1" s="77"/>
    <row r="315" ht="15.75" customHeight="1" s="77"/>
    <row r="316" ht="15.75" customHeight="1" s="77"/>
    <row r="317" ht="15.75" customHeight="1" s="77"/>
    <row r="318" ht="15.75" customHeight="1" s="77"/>
    <row r="319" ht="15.75" customHeight="1" s="77"/>
    <row r="320" ht="15.75" customHeight="1" s="77"/>
    <row r="321" ht="15.75" customHeight="1" s="77"/>
    <row r="322" ht="15.75" customHeight="1" s="77"/>
    <row r="323" ht="15.75" customHeight="1" s="77"/>
    <row r="324" ht="15.75" customHeight="1" s="77"/>
    <row r="325" ht="15.75" customHeight="1" s="77"/>
    <row r="326" ht="15.75" customHeight="1" s="77"/>
    <row r="327" ht="15.75" customHeight="1" s="77"/>
    <row r="328" ht="15.75" customHeight="1" s="77"/>
    <row r="329" ht="15.75" customHeight="1" s="77"/>
    <row r="330" ht="15.75" customHeight="1" s="77"/>
    <row r="331" ht="15.75" customHeight="1" s="77"/>
    <row r="332" ht="15.75" customHeight="1" s="77"/>
    <row r="333" ht="15.75" customHeight="1" s="77"/>
    <row r="334" ht="15.75" customHeight="1" s="77"/>
    <row r="335" ht="15.75" customHeight="1" s="77"/>
    <row r="336" ht="15.75" customHeight="1" s="77"/>
    <row r="337" ht="15.75" customHeight="1" s="77"/>
    <row r="338" ht="15.75" customHeight="1" s="77"/>
    <row r="339" ht="15.75" customHeight="1" s="77"/>
    <row r="340" ht="15.75" customHeight="1" s="77"/>
    <row r="341" ht="15.75" customHeight="1" s="77"/>
    <row r="342" ht="15.75" customHeight="1" s="77"/>
    <row r="343" ht="15.75" customHeight="1" s="77"/>
    <row r="344" ht="15.75" customHeight="1" s="77"/>
    <row r="345" ht="15.75" customHeight="1" s="77"/>
    <row r="346" ht="15.75" customHeight="1" s="77"/>
    <row r="347" ht="15.75" customHeight="1" s="77"/>
    <row r="348" ht="15.75" customHeight="1" s="77"/>
    <row r="349" ht="15.75" customHeight="1" s="77"/>
    <row r="350" ht="15.75" customHeight="1" s="77"/>
    <row r="351" ht="15.75" customHeight="1" s="77"/>
    <row r="352" ht="15.75" customHeight="1" s="77"/>
    <row r="353" ht="15.75" customHeight="1" s="77"/>
    <row r="354" ht="15.75" customHeight="1" s="77"/>
    <row r="355" ht="15.75" customHeight="1" s="77"/>
    <row r="356" ht="15.75" customHeight="1" s="77"/>
    <row r="357" ht="15.75" customHeight="1" s="77"/>
    <row r="358" ht="15.75" customHeight="1" s="77"/>
    <row r="359" ht="15.75" customHeight="1" s="77"/>
    <row r="360" ht="15.75" customHeight="1" s="77"/>
    <row r="361" ht="15.75" customHeight="1" s="77"/>
    <row r="362" ht="15.75" customHeight="1" s="77"/>
    <row r="363" ht="15.75" customHeight="1" s="77"/>
    <row r="364" ht="15.75" customHeight="1" s="77"/>
    <row r="365" ht="15.75" customHeight="1" s="77"/>
    <row r="366" ht="15.75" customHeight="1" s="77"/>
    <row r="367" ht="15.75" customHeight="1" s="77"/>
    <row r="368" ht="15.75" customHeight="1" s="77"/>
    <row r="369" ht="15.75" customHeight="1" s="77"/>
    <row r="370" ht="15.75" customHeight="1" s="77"/>
    <row r="371" ht="15.75" customHeight="1" s="77"/>
    <row r="372" ht="15.75" customHeight="1" s="77"/>
    <row r="373" ht="15.75" customHeight="1" s="77"/>
    <row r="374" ht="15.75" customHeight="1" s="77"/>
    <row r="375" ht="15.75" customHeight="1" s="77"/>
    <row r="376" ht="15.75" customHeight="1" s="77"/>
    <row r="377" ht="15.75" customHeight="1" s="77"/>
    <row r="378" ht="15.75" customHeight="1" s="77"/>
    <row r="379" ht="15.75" customHeight="1" s="77"/>
    <row r="380" ht="15.75" customHeight="1" s="77"/>
    <row r="381" ht="15.75" customHeight="1" s="77"/>
    <row r="382" ht="15.75" customHeight="1" s="77"/>
    <row r="383" ht="15.75" customHeight="1" s="77"/>
    <row r="384" ht="15.75" customHeight="1" s="77"/>
    <row r="385" ht="15.75" customHeight="1" s="77"/>
    <row r="386" ht="15.75" customHeight="1" s="77"/>
    <row r="387" ht="15.75" customHeight="1" s="77"/>
    <row r="388" ht="15.75" customHeight="1" s="77"/>
    <row r="389" ht="15.75" customHeight="1" s="77"/>
    <row r="390" ht="15.75" customHeight="1" s="77"/>
    <row r="391" ht="15.75" customHeight="1" s="77"/>
    <row r="392" ht="15.75" customHeight="1" s="77"/>
    <row r="393" ht="15.75" customHeight="1" s="77"/>
    <row r="394" ht="15.75" customHeight="1" s="77"/>
    <row r="395" ht="15.75" customHeight="1" s="77"/>
    <row r="396" ht="15.75" customHeight="1" s="77"/>
    <row r="397" ht="15.75" customHeight="1" s="77"/>
    <row r="398" ht="15.75" customHeight="1" s="77"/>
    <row r="399" ht="15.75" customHeight="1" s="77"/>
    <row r="400" ht="15.75" customHeight="1" s="77"/>
    <row r="401" ht="15.75" customHeight="1" s="77"/>
    <row r="402" ht="15.75" customHeight="1" s="77"/>
    <row r="403" ht="15.75" customHeight="1" s="77"/>
    <row r="404" ht="15.75" customHeight="1" s="77"/>
    <row r="405" ht="15.75" customHeight="1" s="77"/>
    <row r="406" ht="15.75" customHeight="1" s="77"/>
    <row r="407" ht="15.75" customHeight="1" s="77"/>
    <row r="408" ht="15.75" customHeight="1" s="77"/>
    <row r="409" ht="15.75" customHeight="1" s="77"/>
    <row r="410" ht="15.75" customHeight="1" s="77"/>
    <row r="411" ht="15.75" customHeight="1" s="77"/>
    <row r="412" ht="15.75" customHeight="1" s="77"/>
    <row r="413" ht="15.75" customHeight="1" s="77"/>
    <row r="414" ht="15.75" customHeight="1" s="77"/>
    <row r="415" ht="15.75" customHeight="1" s="77"/>
    <row r="416" ht="15.75" customHeight="1" s="77"/>
    <row r="417" ht="15.75" customHeight="1" s="77"/>
    <row r="418" ht="15.75" customHeight="1" s="77"/>
    <row r="419" ht="15.75" customHeight="1" s="77"/>
    <row r="420" ht="15.75" customHeight="1" s="77"/>
    <row r="421" ht="15.75" customHeight="1" s="77"/>
    <row r="422" ht="15.75" customHeight="1" s="77"/>
    <row r="423" ht="15.75" customHeight="1" s="77"/>
    <row r="424" ht="15.75" customHeight="1" s="77"/>
    <row r="425" ht="15.75" customHeight="1" s="77"/>
    <row r="426" ht="15.75" customHeight="1" s="77"/>
    <row r="427" ht="15.75" customHeight="1" s="77"/>
    <row r="428" ht="15.75" customHeight="1" s="77"/>
    <row r="429" ht="15.75" customHeight="1" s="77"/>
    <row r="430" ht="15.75" customHeight="1" s="77"/>
    <row r="431" ht="15.75" customHeight="1" s="77"/>
    <row r="432" ht="15.75" customHeight="1" s="77"/>
    <row r="433" ht="15.75" customHeight="1" s="77"/>
    <row r="434" ht="15.75" customHeight="1" s="77"/>
    <row r="435" ht="15.75" customHeight="1" s="77"/>
    <row r="436" ht="15.75" customHeight="1" s="77"/>
    <row r="437" ht="15.75" customHeight="1" s="77"/>
    <row r="438" ht="15.75" customHeight="1" s="77"/>
    <row r="439" ht="15.75" customHeight="1" s="77"/>
    <row r="440" ht="15.75" customHeight="1" s="77"/>
    <row r="441" ht="15.75" customHeight="1" s="77"/>
    <row r="442" ht="15.75" customHeight="1" s="77"/>
    <row r="443" ht="15.75" customHeight="1" s="77"/>
    <row r="444" ht="15.75" customHeight="1" s="77"/>
    <row r="445" ht="15.75" customHeight="1" s="77"/>
    <row r="446" ht="15.75" customHeight="1" s="77"/>
    <row r="447" ht="15.75" customHeight="1" s="77"/>
    <row r="448" ht="15.75" customHeight="1" s="77"/>
    <row r="449" ht="15.75" customHeight="1" s="77"/>
    <row r="450" ht="15.75" customHeight="1" s="77"/>
    <row r="451" ht="15.75" customHeight="1" s="77"/>
    <row r="452" ht="15.75" customHeight="1" s="77"/>
    <row r="453" ht="15.75" customHeight="1" s="77"/>
    <row r="454" ht="15.75" customHeight="1" s="77"/>
    <row r="455" ht="15.75" customHeight="1" s="77"/>
    <row r="456" ht="15.75" customHeight="1" s="77"/>
    <row r="457" ht="15.75" customHeight="1" s="77"/>
    <row r="458" ht="15.75" customHeight="1" s="77"/>
    <row r="459" ht="15.75" customHeight="1" s="77"/>
    <row r="460" ht="15.75" customHeight="1" s="77"/>
    <row r="461" ht="15.75" customHeight="1" s="77"/>
    <row r="462" ht="15.75" customHeight="1" s="77"/>
    <row r="463" ht="15.75" customHeight="1" s="77"/>
    <row r="464" ht="15.75" customHeight="1" s="77"/>
    <row r="465" ht="15.75" customHeight="1" s="77"/>
    <row r="466" ht="15.75" customHeight="1" s="77"/>
    <row r="467" ht="15.75" customHeight="1" s="77"/>
    <row r="468" ht="15.75" customHeight="1" s="77"/>
    <row r="469" ht="15.75" customHeight="1" s="77"/>
    <row r="470" ht="15.75" customHeight="1" s="77"/>
    <row r="471" ht="15.75" customHeight="1" s="77"/>
    <row r="472" ht="15.75" customHeight="1" s="77"/>
    <row r="473" ht="15.75" customHeight="1" s="77"/>
    <row r="474" ht="15.75" customHeight="1" s="77"/>
    <row r="475" ht="15.75" customHeight="1" s="77"/>
    <row r="476" ht="15.75" customHeight="1" s="77"/>
    <row r="477" ht="15.75" customHeight="1" s="77"/>
    <row r="478" ht="15.75" customHeight="1" s="77"/>
    <row r="479" ht="15.75" customHeight="1" s="77"/>
    <row r="480" ht="15.75" customHeight="1" s="77"/>
    <row r="481" ht="15.75" customHeight="1" s="77"/>
    <row r="482" ht="15.75" customHeight="1" s="77"/>
    <row r="483" ht="15.75" customHeight="1" s="77"/>
    <row r="484" ht="15.75" customHeight="1" s="77"/>
    <row r="485" ht="15.75" customHeight="1" s="77"/>
    <row r="486" ht="15.75" customHeight="1" s="77"/>
    <row r="487" ht="15.75" customHeight="1" s="77"/>
    <row r="488" ht="15.75" customHeight="1" s="77"/>
    <row r="489" ht="15.75" customHeight="1" s="77"/>
    <row r="490" ht="15.75" customHeight="1" s="77"/>
    <row r="491" ht="15.75" customHeight="1" s="77"/>
    <row r="492" ht="15.75" customHeight="1" s="77"/>
    <row r="493" ht="15.75" customHeight="1" s="77"/>
    <row r="494" ht="15.75" customHeight="1" s="77"/>
    <row r="495" ht="15.75" customHeight="1" s="77"/>
    <row r="496" ht="15.75" customHeight="1" s="77"/>
    <row r="497" ht="15.75" customHeight="1" s="77"/>
    <row r="498" ht="15.75" customHeight="1" s="77"/>
    <row r="499" ht="15.75" customHeight="1" s="77"/>
    <row r="500" ht="15.75" customHeight="1" s="77"/>
    <row r="501" ht="15.75" customHeight="1" s="77"/>
    <row r="502" ht="15.75" customHeight="1" s="77"/>
    <row r="503" ht="15.75" customHeight="1" s="77"/>
    <row r="504" ht="15.75" customHeight="1" s="77"/>
    <row r="505" ht="15.75" customHeight="1" s="77"/>
    <row r="506" ht="15.75" customHeight="1" s="77"/>
    <row r="507" ht="15.75" customHeight="1" s="77"/>
    <row r="508" ht="15.75" customHeight="1" s="77"/>
    <row r="509" ht="15.75" customHeight="1" s="77"/>
    <row r="510" ht="15.75" customHeight="1" s="77"/>
    <row r="511" ht="15.75" customHeight="1" s="77"/>
    <row r="512" ht="15.75" customHeight="1" s="77"/>
    <row r="513" ht="15.75" customHeight="1" s="77"/>
    <row r="514" ht="15.75" customHeight="1" s="77"/>
    <row r="515" ht="15.75" customHeight="1" s="77"/>
    <row r="516" ht="15.75" customHeight="1" s="77"/>
    <row r="517" ht="15.75" customHeight="1" s="77"/>
    <row r="518" ht="15.75" customHeight="1" s="77"/>
    <row r="519" ht="15.75" customHeight="1" s="77"/>
    <row r="520" ht="15.75" customHeight="1" s="77"/>
    <row r="521" ht="15.75" customHeight="1" s="77"/>
    <row r="522" ht="15.75" customHeight="1" s="77"/>
    <row r="523" ht="15.75" customHeight="1" s="77"/>
    <row r="524" ht="15.75" customHeight="1" s="77"/>
    <row r="525" ht="15.75" customHeight="1" s="77"/>
    <row r="526" ht="15.75" customHeight="1" s="77"/>
    <row r="527" ht="15.75" customHeight="1" s="77"/>
    <row r="528" ht="15.75" customHeight="1" s="77"/>
    <row r="529" ht="15.75" customHeight="1" s="77"/>
    <row r="530" ht="15.75" customHeight="1" s="77"/>
    <row r="531" ht="15.75" customHeight="1" s="77"/>
    <row r="532" ht="15.75" customHeight="1" s="77"/>
    <row r="533" ht="15.75" customHeight="1" s="77"/>
    <row r="534" ht="15.75" customHeight="1" s="77"/>
    <row r="535" ht="15.75" customHeight="1" s="77"/>
    <row r="536" ht="15.75" customHeight="1" s="77"/>
    <row r="537" ht="15.75" customHeight="1" s="77"/>
    <row r="538" ht="15.75" customHeight="1" s="77"/>
    <row r="539" ht="15.75" customHeight="1" s="77"/>
    <row r="540" ht="15.75" customHeight="1" s="77"/>
    <row r="541" ht="15.75" customHeight="1" s="77"/>
    <row r="542" ht="15.75" customHeight="1" s="77"/>
    <row r="543" ht="15.75" customHeight="1" s="77"/>
    <row r="544" ht="15.75" customHeight="1" s="77"/>
    <row r="545" ht="15.75" customHeight="1" s="77"/>
    <row r="546" ht="15.75" customHeight="1" s="77"/>
    <row r="547" ht="15.75" customHeight="1" s="77"/>
    <row r="548" ht="15.75" customHeight="1" s="77"/>
    <row r="549" ht="15.75" customHeight="1" s="77"/>
    <row r="550" ht="15.75" customHeight="1" s="77"/>
    <row r="551" ht="15.75" customHeight="1" s="77"/>
    <row r="552" ht="15.75" customHeight="1" s="77"/>
    <row r="553" ht="15.75" customHeight="1" s="77"/>
    <row r="554" ht="15.75" customHeight="1" s="77"/>
    <row r="555" ht="15.75" customHeight="1" s="77"/>
    <row r="556" ht="15.75" customHeight="1" s="77"/>
    <row r="557" ht="15.75" customHeight="1" s="77"/>
    <row r="558" ht="15.75" customHeight="1" s="77"/>
    <row r="559" ht="15.75" customHeight="1" s="77"/>
    <row r="560" ht="15.75" customHeight="1" s="77"/>
    <row r="561" ht="15.75" customHeight="1" s="77"/>
    <row r="562" ht="15.75" customHeight="1" s="77"/>
    <row r="563" ht="15.75" customHeight="1" s="77"/>
    <row r="564" ht="15.75" customHeight="1" s="77"/>
    <row r="565" ht="15.75" customHeight="1" s="77"/>
    <row r="566" ht="15.75" customHeight="1" s="77"/>
    <row r="567" ht="15.75" customHeight="1" s="77"/>
    <row r="568" ht="15.75" customHeight="1" s="77"/>
    <row r="569" ht="15.75" customHeight="1" s="77"/>
    <row r="570" ht="15.75" customHeight="1" s="77"/>
    <row r="571" ht="15.75" customHeight="1" s="77"/>
    <row r="572" ht="15.75" customHeight="1" s="77"/>
    <row r="573" ht="15.75" customHeight="1" s="77"/>
    <row r="574" ht="15.75" customHeight="1" s="77"/>
    <row r="575" ht="15.75" customHeight="1" s="77"/>
    <row r="576" ht="15.75" customHeight="1" s="77"/>
    <row r="577" ht="15.75" customHeight="1" s="77"/>
    <row r="578" ht="15.75" customHeight="1" s="77"/>
    <row r="579" ht="15.75" customHeight="1" s="77"/>
    <row r="580" ht="15.75" customHeight="1" s="77"/>
    <row r="581" ht="15.75" customHeight="1" s="77"/>
    <row r="582" ht="15.75" customHeight="1" s="77"/>
    <row r="583" ht="15.75" customHeight="1" s="77"/>
    <row r="584" ht="15.75" customHeight="1" s="77"/>
    <row r="585" ht="15.75" customHeight="1" s="77"/>
    <row r="586" ht="15.75" customHeight="1" s="77"/>
    <row r="587" ht="15.75" customHeight="1" s="77"/>
    <row r="588" ht="15.75" customHeight="1" s="77"/>
    <row r="589" ht="15.75" customHeight="1" s="77"/>
    <row r="590" ht="15.75" customHeight="1" s="77"/>
    <row r="591" ht="15.75" customHeight="1" s="77"/>
    <row r="592" ht="15.75" customHeight="1" s="77"/>
    <row r="593" ht="15.75" customHeight="1" s="77"/>
    <row r="594" ht="15.75" customHeight="1" s="77"/>
    <row r="595" ht="15.75" customHeight="1" s="77"/>
    <row r="596" ht="15.75" customHeight="1" s="77"/>
    <row r="597" ht="15.75" customHeight="1" s="77"/>
    <row r="598" ht="15.75" customHeight="1" s="77"/>
    <row r="599" ht="15.75" customHeight="1" s="77"/>
    <row r="600" ht="15.75" customHeight="1" s="77"/>
    <row r="601" ht="15.75" customHeight="1" s="77"/>
    <row r="602" ht="15.75" customHeight="1" s="77"/>
    <row r="603" ht="15.75" customHeight="1" s="77"/>
    <row r="604" ht="15.75" customHeight="1" s="77"/>
    <row r="605" ht="15.75" customHeight="1" s="77"/>
    <row r="606" ht="15.75" customHeight="1" s="77"/>
    <row r="607" ht="15.75" customHeight="1" s="77"/>
    <row r="608" ht="15.75" customHeight="1" s="77"/>
    <row r="609" ht="15.75" customHeight="1" s="77"/>
    <row r="610" ht="15.75" customHeight="1" s="77"/>
    <row r="611" ht="15.75" customHeight="1" s="77"/>
    <row r="612" ht="15.75" customHeight="1" s="77"/>
    <row r="613" ht="15.75" customHeight="1" s="77"/>
    <row r="614" ht="15.75" customHeight="1" s="77"/>
    <row r="615" ht="15.75" customHeight="1" s="77"/>
    <row r="616" ht="15.75" customHeight="1" s="77"/>
    <row r="617" ht="15.75" customHeight="1" s="77"/>
    <row r="618" ht="15.75" customHeight="1" s="77"/>
    <row r="619" ht="15.75" customHeight="1" s="77"/>
    <row r="620" ht="15.75" customHeight="1" s="77"/>
    <row r="621" ht="15.75" customHeight="1" s="77"/>
    <row r="622" ht="15.75" customHeight="1" s="77"/>
    <row r="623" ht="15.75" customHeight="1" s="77"/>
    <row r="624" ht="15.75" customHeight="1" s="77"/>
    <row r="625" ht="15.75" customHeight="1" s="77"/>
    <row r="626" ht="15.75" customHeight="1" s="77"/>
    <row r="627" ht="15.75" customHeight="1" s="77"/>
    <row r="628" ht="15.75" customHeight="1" s="77"/>
    <row r="629" ht="15.75" customHeight="1" s="77"/>
    <row r="630" ht="15.75" customHeight="1" s="77"/>
    <row r="631" ht="15.75" customHeight="1" s="77"/>
    <row r="632" ht="15.75" customHeight="1" s="77"/>
    <row r="633" ht="15.75" customHeight="1" s="77"/>
    <row r="634" ht="15.75" customHeight="1" s="77"/>
    <row r="635" ht="15.75" customHeight="1" s="77"/>
    <row r="636" ht="15.75" customHeight="1" s="77"/>
    <row r="637" ht="15.75" customHeight="1" s="77"/>
    <row r="638" ht="15.75" customHeight="1" s="77"/>
    <row r="639" ht="15.75" customHeight="1" s="77"/>
    <row r="640" ht="15.75" customHeight="1" s="77"/>
    <row r="641" ht="15.75" customHeight="1" s="77"/>
    <row r="642" ht="15.75" customHeight="1" s="77"/>
    <row r="643" ht="15.75" customHeight="1" s="77"/>
    <row r="644" ht="15.75" customHeight="1" s="77"/>
    <row r="645" ht="15.75" customHeight="1" s="77"/>
    <row r="646" ht="15.75" customHeight="1" s="77"/>
    <row r="647" ht="15.75" customHeight="1" s="77"/>
    <row r="648" ht="15.75" customHeight="1" s="77"/>
    <row r="649" ht="15.75" customHeight="1" s="77"/>
    <row r="650" ht="15.75" customHeight="1" s="77"/>
    <row r="651" ht="15.75" customHeight="1" s="77"/>
    <row r="652" ht="15.75" customHeight="1" s="77"/>
    <row r="653" ht="15.75" customHeight="1" s="77"/>
    <row r="654" ht="15.75" customHeight="1" s="77"/>
    <row r="655" ht="15.75" customHeight="1" s="77"/>
    <row r="656" ht="15.75" customHeight="1" s="77"/>
    <row r="657" ht="15.75" customHeight="1" s="77"/>
    <row r="658" ht="15.75" customHeight="1" s="77"/>
    <row r="659" ht="15.75" customHeight="1" s="77"/>
    <row r="660" ht="15.75" customHeight="1" s="77"/>
    <row r="661" ht="15.75" customHeight="1" s="77"/>
    <row r="662" ht="15.75" customHeight="1" s="77"/>
    <row r="663" ht="15.75" customHeight="1" s="77"/>
    <row r="664" ht="15.75" customHeight="1" s="77"/>
    <row r="665" ht="15.75" customHeight="1" s="77"/>
    <row r="666" ht="15.75" customHeight="1" s="77"/>
    <row r="667" ht="15.75" customHeight="1" s="77"/>
    <row r="668" ht="15.75" customHeight="1" s="77"/>
    <row r="669" ht="15.75" customHeight="1" s="77"/>
    <row r="670" ht="15.75" customHeight="1" s="77"/>
    <row r="671" ht="15.75" customHeight="1" s="77"/>
    <row r="672" ht="15.75" customHeight="1" s="77"/>
    <row r="673" ht="15.75" customHeight="1" s="77"/>
    <row r="674" ht="15.75" customHeight="1" s="77"/>
    <row r="675" ht="15.75" customHeight="1" s="77"/>
    <row r="676" ht="15.75" customHeight="1" s="77"/>
    <row r="677" ht="15.75" customHeight="1" s="77"/>
    <row r="678" ht="15.75" customHeight="1" s="77"/>
    <row r="679" ht="15.75" customHeight="1" s="77"/>
    <row r="680" ht="15.75" customHeight="1" s="77"/>
    <row r="681" ht="15.75" customHeight="1" s="77"/>
    <row r="682" ht="15.75" customHeight="1" s="77"/>
    <row r="683" ht="15.75" customHeight="1" s="77"/>
    <row r="684" ht="15.75" customHeight="1" s="77"/>
    <row r="685" ht="15.75" customHeight="1" s="77"/>
    <row r="686" ht="15.75" customHeight="1" s="77"/>
    <row r="687" ht="15.75" customHeight="1" s="77"/>
    <row r="688" ht="15.75" customHeight="1" s="77"/>
    <row r="689" ht="15.75" customHeight="1" s="77"/>
    <row r="690" ht="15.75" customHeight="1" s="77"/>
    <row r="691" ht="15.75" customHeight="1" s="77"/>
    <row r="692" ht="15.75" customHeight="1" s="77"/>
    <row r="693" ht="15.75" customHeight="1" s="77"/>
    <row r="694" ht="15.75" customHeight="1" s="77"/>
    <row r="695" ht="15.75" customHeight="1" s="77"/>
    <row r="696" ht="15.75" customHeight="1" s="77"/>
    <row r="697" ht="15.75" customHeight="1" s="77"/>
    <row r="698" ht="15.75" customHeight="1" s="77"/>
    <row r="699" ht="15.75" customHeight="1" s="77"/>
    <row r="700" ht="15.75" customHeight="1" s="77"/>
    <row r="701" ht="15.75" customHeight="1" s="77"/>
    <row r="702" ht="15.75" customHeight="1" s="77"/>
    <row r="703" ht="15.75" customHeight="1" s="77"/>
    <row r="704" ht="15.75" customHeight="1" s="77"/>
    <row r="705" ht="15.75" customHeight="1" s="77"/>
    <row r="706" ht="15.75" customHeight="1" s="77"/>
    <row r="707" ht="15.75" customHeight="1" s="77"/>
    <row r="708" ht="15.75" customHeight="1" s="77"/>
    <row r="709" ht="15.75" customHeight="1" s="77"/>
    <row r="710" ht="15.75" customHeight="1" s="77"/>
    <row r="711" ht="15.75" customHeight="1" s="77"/>
    <row r="712" ht="15.75" customHeight="1" s="77"/>
    <row r="713" ht="15.75" customHeight="1" s="77"/>
    <row r="714" ht="15.75" customHeight="1" s="77"/>
    <row r="715" ht="15.75" customHeight="1" s="77"/>
    <row r="716" ht="15.75" customHeight="1" s="77"/>
    <row r="717" ht="15.75" customHeight="1" s="77"/>
    <row r="718" ht="15.75" customHeight="1" s="77"/>
    <row r="719" ht="15.75" customHeight="1" s="77"/>
    <row r="720" ht="15.75" customHeight="1" s="77"/>
    <row r="721" ht="15.75" customHeight="1" s="77"/>
    <row r="722" ht="15.75" customHeight="1" s="77"/>
    <row r="723" ht="15.75" customHeight="1" s="77"/>
    <row r="724" ht="15.75" customHeight="1" s="77"/>
    <row r="725" ht="15.75" customHeight="1" s="77"/>
    <row r="726" ht="15.75" customHeight="1" s="77"/>
    <row r="727" ht="15.75" customHeight="1" s="77"/>
    <row r="728" ht="15.75" customHeight="1" s="77"/>
    <row r="729" ht="15.75" customHeight="1" s="77"/>
    <row r="730" ht="15.75" customHeight="1" s="77"/>
    <row r="731" ht="15.75" customHeight="1" s="77"/>
    <row r="732" ht="15.75" customHeight="1" s="77"/>
    <row r="733" ht="15.75" customHeight="1" s="77"/>
    <row r="734" ht="15.75" customHeight="1" s="77"/>
    <row r="735" ht="15.75" customHeight="1" s="77"/>
    <row r="736" ht="15.75" customHeight="1" s="77"/>
    <row r="737" ht="15.75" customHeight="1" s="77"/>
    <row r="738" ht="15.75" customHeight="1" s="77"/>
    <row r="739" ht="15.75" customHeight="1" s="77"/>
    <row r="740" ht="15.75" customHeight="1" s="77"/>
    <row r="741" ht="15.75" customHeight="1" s="77"/>
    <row r="742" ht="15.75" customHeight="1" s="77"/>
    <row r="743" ht="15.75" customHeight="1" s="77"/>
    <row r="744" ht="15.75" customHeight="1" s="77"/>
    <row r="745" ht="15.75" customHeight="1" s="77"/>
    <row r="746" ht="15.75" customHeight="1" s="77"/>
    <row r="747" ht="15.75" customHeight="1" s="77"/>
    <row r="748" ht="15.75" customHeight="1" s="77"/>
    <row r="749" ht="15.75" customHeight="1" s="77"/>
    <row r="750" ht="15.75" customHeight="1" s="77"/>
    <row r="751" ht="15.75" customHeight="1" s="77"/>
    <row r="752" ht="15.75" customHeight="1" s="77"/>
    <row r="753" ht="15.75" customHeight="1" s="77"/>
    <row r="754" ht="15.75" customHeight="1" s="77"/>
    <row r="755" ht="15.75" customHeight="1" s="77"/>
    <row r="756" ht="15.75" customHeight="1" s="77"/>
    <row r="757" ht="15.75" customHeight="1" s="77"/>
    <row r="758" ht="15.75" customHeight="1" s="77"/>
    <row r="759" ht="15.75" customHeight="1" s="77"/>
    <row r="760" ht="15.75" customHeight="1" s="77"/>
    <row r="761" ht="15.75" customHeight="1" s="77"/>
    <row r="762" ht="15.75" customHeight="1" s="77"/>
    <row r="763" ht="15.75" customHeight="1" s="77"/>
    <row r="764" ht="15.75" customHeight="1" s="77"/>
    <row r="765" ht="15.75" customHeight="1" s="77"/>
    <row r="766" ht="15.75" customHeight="1" s="77"/>
    <row r="767" ht="15.75" customHeight="1" s="77"/>
    <row r="768" ht="15.75" customHeight="1" s="77"/>
    <row r="769" ht="15.75" customHeight="1" s="77"/>
    <row r="770" ht="15.75" customHeight="1" s="77"/>
    <row r="771" ht="15.75" customHeight="1" s="77"/>
    <row r="772" ht="15.75" customHeight="1" s="77"/>
    <row r="773" ht="15.75" customHeight="1" s="77"/>
    <row r="774" ht="15.75" customHeight="1" s="77"/>
    <row r="775" ht="15.75" customHeight="1" s="77"/>
    <row r="776" ht="15.75" customHeight="1" s="77"/>
    <row r="777" ht="15.75" customHeight="1" s="77"/>
    <row r="778" ht="15.75" customHeight="1" s="77"/>
    <row r="779" ht="15.75" customHeight="1" s="77"/>
    <row r="780" ht="15.75" customHeight="1" s="77"/>
    <row r="781" ht="15.75" customHeight="1" s="77"/>
    <row r="782" ht="15.75" customHeight="1" s="77"/>
    <row r="783" ht="15.75" customHeight="1" s="77"/>
    <row r="784" ht="15.75" customHeight="1" s="77"/>
    <row r="785" ht="15.75" customHeight="1" s="77"/>
    <row r="786" ht="15.75" customHeight="1" s="77"/>
    <row r="787" ht="15.75" customHeight="1" s="77"/>
    <row r="788" ht="15.75" customHeight="1" s="77"/>
    <row r="789" ht="15.75" customHeight="1" s="77"/>
    <row r="790" ht="15.75" customHeight="1" s="77"/>
    <row r="791" ht="15.75" customHeight="1" s="77"/>
    <row r="792" ht="15.75" customHeight="1" s="77"/>
    <row r="793" ht="15.75" customHeight="1" s="77"/>
    <row r="794" ht="15.75" customHeight="1" s="77"/>
    <row r="795" ht="15.75" customHeight="1" s="77"/>
    <row r="796" ht="15.75" customHeight="1" s="77"/>
    <row r="797" ht="15.75" customHeight="1" s="77"/>
    <row r="798" ht="15.75" customHeight="1" s="77"/>
    <row r="799" ht="15.75" customHeight="1" s="77"/>
    <row r="800" ht="15.75" customHeight="1" s="77"/>
    <row r="801" ht="15.75" customHeight="1" s="77"/>
    <row r="802" ht="15.75" customHeight="1" s="77"/>
    <row r="803" ht="15.75" customHeight="1" s="77"/>
    <row r="804" ht="15.75" customHeight="1" s="77"/>
    <row r="805" ht="15.75" customHeight="1" s="77"/>
    <row r="806" ht="15.75" customHeight="1" s="77"/>
    <row r="807" ht="15.75" customHeight="1" s="77"/>
    <row r="808" ht="15.75" customHeight="1" s="77"/>
    <row r="809" ht="15.75" customHeight="1" s="77"/>
    <row r="810" ht="15.75" customHeight="1" s="77"/>
    <row r="811" ht="15.75" customHeight="1" s="77"/>
    <row r="812" ht="15.75" customHeight="1" s="77"/>
    <row r="813" ht="15.75" customHeight="1" s="77"/>
    <row r="814" ht="15.75" customHeight="1" s="77"/>
    <row r="815" ht="15.75" customHeight="1" s="77"/>
    <row r="816" ht="15.75" customHeight="1" s="77"/>
    <row r="817" ht="15.75" customHeight="1" s="77"/>
    <row r="818" ht="15.75" customHeight="1" s="77"/>
    <row r="819" ht="15.75" customHeight="1" s="77"/>
    <row r="820" ht="15.75" customHeight="1" s="77"/>
    <row r="821" ht="15.75" customHeight="1" s="77"/>
    <row r="822" ht="15.75" customHeight="1" s="77"/>
    <row r="823" ht="15.75" customHeight="1" s="77"/>
    <row r="824" ht="15.75" customHeight="1" s="77"/>
    <row r="825" ht="15.75" customHeight="1" s="77"/>
    <row r="826" ht="15.75" customHeight="1" s="77"/>
    <row r="827" ht="15.75" customHeight="1" s="77"/>
    <row r="828" ht="15.75" customHeight="1" s="77"/>
    <row r="829" ht="15.75" customHeight="1" s="77"/>
    <row r="830" ht="15.75" customHeight="1" s="77"/>
    <row r="831" ht="15.75" customHeight="1" s="77"/>
    <row r="832" ht="15.75" customHeight="1" s="77"/>
    <row r="833" ht="15.75" customHeight="1" s="77"/>
    <row r="834" ht="15.75" customHeight="1" s="77"/>
    <row r="835" ht="15.75" customHeight="1" s="77"/>
    <row r="836" ht="15.75" customHeight="1" s="77"/>
    <row r="837" ht="15.75" customHeight="1" s="77"/>
    <row r="838" ht="15.75" customHeight="1" s="77"/>
    <row r="839" ht="15.75" customHeight="1" s="77"/>
    <row r="840" ht="15.75" customHeight="1" s="77"/>
    <row r="841" ht="15.75" customHeight="1" s="77"/>
    <row r="842" ht="15.75" customHeight="1" s="77"/>
    <row r="843" ht="15.75" customHeight="1" s="77"/>
    <row r="844" ht="15.75" customHeight="1" s="77"/>
    <row r="845" ht="15.75" customHeight="1" s="77"/>
    <row r="846" ht="15.75" customHeight="1" s="77"/>
    <row r="847" ht="15.75" customHeight="1" s="77"/>
    <row r="848" ht="15.75" customHeight="1" s="77"/>
    <row r="849" ht="15.75" customHeight="1" s="77"/>
    <row r="850" ht="15.75" customHeight="1" s="77"/>
    <row r="851" ht="15.75" customHeight="1" s="77"/>
    <row r="852" ht="15.75" customHeight="1" s="77"/>
    <row r="853" ht="15.75" customHeight="1" s="77"/>
    <row r="854" ht="15.75" customHeight="1" s="77"/>
    <row r="855" ht="15.75" customHeight="1" s="77"/>
    <row r="856" ht="15.75" customHeight="1" s="77"/>
    <row r="857" ht="15.75" customHeight="1" s="77"/>
    <row r="858" ht="15.75" customHeight="1" s="77"/>
    <row r="859" ht="15.75" customHeight="1" s="77"/>
    <row r="860" ht="15.75" customHeight="1" s="77"/>
    <row r="861" ht="15.75" customHeight="1" s="77"/>
    <row r="862" ht="15.75" customHeight="1" s="77"/>
    <row r="863" ht="15.75" customHeight="1" s="77"/>
    <row r="864" ht="15.75" customHeight="1" s="77"/>
    <row r="865" ht="15.75" customHeight="1" s="77"/>
    <row r="866" ht="15.75" customHeight="1" s="77"/>
    <row r="867" ht="15.75" customHeight="1" s="77"/>
    <row r="868" ht="15.75" customHeight="1" s="77"/>
    <row r="869" ht="15.75" customHeight="1" s="77"/>
    <row r="870" ht="15.75" customHeight="1" s="77"/>
    <row r="871" ht="15.75" customHeight="1" s="77"/>
    <row r="872" ht="15.75" customHeight="1" s="77"/>
    <row r="873" ht="15.75" customHeight="1" s="77"/>
    <row r="874" ht="15.75" customHeight="1" s="77"/>
    <row r="875" ht="15.75" customHeight="1" s="77"/>
    <row r="876" ht="15.75" customHeight="1" s="77"/>
    <row r="877" ht="15.75" customHeight="1" s="77"/>
    <row r="878" ht="15.75" customHeight="1" s="77"/>
    <row r="879" ht="15.75" customHeight="1" s="77"/>
    <row r="880" ht="15.75" customHeight="1" s="77"/>
    <row r="881" ht="15.75" customHeight="1" s="77"/>
    <row r="882" ht="15.75" customHeight="1" s="77"/>
    <row r="883" ht="15.75" customHeight="1" s="77"/>
    <row r="884" ht="15.75" customHeight="1" s="77"/>
    <row r="885" ht="15.75" customHeight="1" s="77"/>
    <row r="886" ht="15.75" customHeight="1" s="77"/>
    <row r="887" ht="15.75" customHeight="1" s="77"/>
    <row r="888" ht="15.75" customHeight="1" s="77"/>
    <row r="889" ht="15.75" customHeight="1" s="77"/>
    <row r="890" ht="15.75" customHeight="1" s="77"/>
    <row r="891" ht="15.75" customHeight="1" s="77"/>
    <row r="892" ht="15.75" customHeight="1" s="77"/>
    <row r="893" ht="15.75" customHeight="1" s="77"/>
    <row r="894" ht="15.75" customHeight="1" s="77"/>
    <row r="895" ht="15.75" customHeight="1" s="77"/>
    <row r="896" ht="15.75" customHeight="1" s="77"/>
    <row r="897" ht="15.75" customHeight="1" s="77"/>
    <row r="898" ht="15.75" customHeight="1" s="77"/>
    <row r="899" ht="15.75" customHeight="1" s="77"/>
    <row r="900" ht="15.75" customHeight="1" s="77"/>
    <row r="901" ht="15.75" customHeight="1" s="77"/>
    <row r="902" ht="15.75" customHeight="1" s="77"/>
    <row r="903" ht="15.75" customHeight="1" s="77"/>
    <row r="904" ht="15.75" customHeight="1" s="77"/>
    <row r="905" ht="15.75" customHeight="1" s="77"/>
    <row r="906" ht="15.75" customHeight="1" s="77"/>
    <row r="907" ht="15.75" customHeight="1" s="77"/>
    <row r="908" ht="15.75" customHeight="1" s="77"/>
    <row r="909" ht="15.75" customHeight="1" s="77"/>
    <row r="910" ht="15.75" customHeight="1" s="77"/>
    <row r="911" ht="15.75" customHeight="1" s="77"/>
    <row r="912" ht="15.75" customHeight="1" s="77"/>
    <row r="913" ht="15.75" customHeight="1" s="77"/>
    <row r="914" ht="15.75" customHeight="1" s="77"/>
    <row r="915" ht="15.75" customHeight="1" s="77"/>
    <row r="916" ht="15.75" customHeight="1" s="77"/>
    <row r="917" ht="15.75" customHeight="1" s="77"/>
    <row r="918" ht="15.75" customHeight="1" s="77"/>
    <row r="919" ht="15.75" customHeight="1" s="77"/>
    <row r="920" ht="15.75" customHeight="1" s="77"/>
    <row r="921" ht="15.75" customHeight="1" s="77"/>
    <row r="922" ht="15.75" customHeight="1" s="77"/>
    <row r="923" ht="15.75" customHeight="1" s="77"/>
    <row r="924" ht="15.75" customHeight="1" s="77"/>
    <row r="925" ht="15.75" customHeight="1" s="77"/>
    <row r="926" ht="15.75" customHeight="1" s="77"/>
    <row r="927" ht="15.75" customHeight="1" s="77"/>
    <row r="928" ht="15.75" customHeight="1" s="77"/>
    <row r="929" ht="15.75" customHeight="1" s="77"/>
    <row r="930" ht="15.75" customHeight="1" s="77"/>
    <row r="931" ht="15.75" customHeight="1" s="77"/>
    <row r="932" ht="15.75" customHeight="1" s="77"/>
    <row r="933" ht="15.75" customHeight="1" s="77"/>
    <row r="934" ht="15.75" customHeight="1" s="77"/>
    <row r="935" ht="15.75" customHeight="1" s="77"/>
    <row r="936" ht="15.75" customHeight="1" s="77"/>
    <row r="937" ht="15.75" customHeight="1" s="77"/>
    <row r="938" ht="15.75" customHeight="1" s="77"/>
    <row r="939" ht="15.75" customHeight="1" s="77"/>
    <row r="940" ht="15.75" customHeight="1" s="77"/>
    <row r="941" ht="15.75" customHeight="1" s="77"/>
    <row r="942" ht="15.75" customHeight="1" s="77"/>
    <row r="943" ht="15.75" customHeight="1" s="77"/>
    <row r="944" ht="15.75" customHeight="1" s="77"/>
    <row r="945" ht="15.75" customHeight="1" s="77"/>
    <row r="946" ht="15.75" customHeight="1" s="77"/>
    <row r="947" ht="15.75" customHeight="1" s="77"/>
    <row r="948" ht="15.75" customHeight="1" s="77"/>
    <row r="949" ht="15.75" customHeight="1" s="77"/>
    <row r="950" ht="15.75" customHeight="1" s="77"/>
    <row r="951" ht="15.75" customHeight="1" s="77"/>
    <row r="952" ht="15.75" customHeight="1" s="77"/>
    <row r="953" ht="15.75" customHeight="1" s="77"/>
    <row r="954" ht="15.75" customHeight="1" s="77"/>
    <row r="955" ht="15.75" customHeight="1" s="77"/>
    <row r="956" ht="15.75" customHeight="1" s="77"/>
    <row r="957" ht="15.75" customHeight="1" s="77"/>
    <row r="958" ht="15.75" customHeight="1" s="77"/>
    <row r="959" ht="15.75" customHeight="1" s="77"/>
    <row r="960" ht="15.75" customHeight="1" s="77"/>
    <row r="961" ht="15.75" customHeight="1" s="77"/>
    <row r="962" ht="15.75" customHeight="1" s="77"/>
    <row r="963" ht="15.75" customHeight="1" s="77"/>
    <row r="964" ht="15.75" customHeight="1" s="77"/>
    <row r="965" ht="15.75" customHeight="1" s="77"/>
    <row r="966" ht="15.75" customHeight="1" s="77"/>
    <row r="967" ht="15.75" customHeight="1" s="77"/>
    <row r="968" ht="15.75" customHeight="1" s="77"/>
    <row r="969" ht="15.75" customHeight="1" s="77"/>
    <row r="970" ht="15.75" customHeight="1" s="77"/>
    <row r="971" ht="15.75" customHeight="1" s="77"/>
    <row r="972" ht="15.75" customHeight="1" s="77"/>
    <row r="973" ht="15.75" customHeight="1" s="77"/>
    <row r="974" ht="15.75" customHeight="1" s="77"/>
    <row r="975" ht="15.75" customHeight="1" s="77"/>
    <row r="976" ht="15.75" customHeight="1" s="77"/>
    <row r="977" ht="15.75" customHeight="1" s="77"/>
    <row r="978" ht="15.75" customHeight="1" s="77"/>
    <row r="979" ht="15.75" customHeight="1" s="77"/>
    <row r="980" ht="15.75" customHeight="1" s="77"/>
    <row r="981" ht="15.75" customHeight="1" s="77"/>
    <row r="982" ht="15.75" customHeight="1" s="77"/>
    <row r="983" ht="15.75" customHeight="1" s="77"/>
    <row r="984" ht="15.75" customHeight="1" s="77"/>
    <row r="985" ht="15.75" customHeight="1" s="77"/>
    <row r="986" ht="15.75" customHeight="1" s="77"/>
    <row r="987" ht="15.75" customHeight="1" s="77"/>
    <row r="988" ht="15.75" customHeight="1" s="77"/>
    <row r="989" ht="15.75" customHeight="1" s="77"/>
    <row r="990" ht="15.75" customHeight="1" s="77"/>
    <row r="991" ht="15.75" customHeight="1" s="77"/>
    <row r="992" ht="15.75" customHeight="1" s="77"/>
    <row r="993" ht="15.75" customHeight="1" s="77"/>
    <row r="994" ht="15.75" customHeight="1" s="77"/>
    <row r="995" ht="15.75" customHeight="1" s="77"/>
    <row r="996" ht="15.75" customHeight="1" s="77"/>
    <row r="997" ht="15.75" customHeight="1" s="77"/>
    <row r="998" ht="15.75" customHeight="1" s="77"/>
    <row r="999" ht="15.75" customHeight="1" s="77"/>
    <row r="1000" ht="15.75" customHeight="1" s="77"/>
  </sheetData>
  <mergeCells count="23">
    <mergeCell ref="AO79:BA79"/>
    <mergeCell ref="O64:AA64"/>
    <mergeCell ref="A74:BI74"/>
    <mergeCell ref="O79:AA79"/>
    <mergeCell ref="A36:H36"/>
    <mergeCell ref="A11:H11"/>
    <mergeCell ref="B64:N64"/>
    <mergeCell ref="A1:H1"/>
    <mergeCell ref="AO64:BA64"/>
    <mergeCell ref="A76:BI76"/>
    <mergeCell ref="B79:N79"/>
    <mergeCell ref="A54:H54"/>
    <mergeCell ref="A91:BI91"/>
    <mergeCell ref="A62:BI62"/>
    <mergeCell ref="AB64:AN64"/>
    <mergeCell ref="A3:H3"/>
    <mergeCell ref="AB79:AN79"/>
    <mergeCell ref="A77:BI77"/>
    <mergeCell ref="A5:H5"/>
    <mergeCell ref="BB64:BN64"/>
    <mergeCell ref="A29:H29"/>
    <mergeCell ref="A61:BI61"/>
    <mergeCell ref="BB79:BN79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ColWidth="14.43" defaultRowHeight="15" customHeight="1"/>
  <cols>
    <col width="35" customWidth="1" style="77" min="1" max="1"/>
    <col width="18" customWidth="1" style="77" min="2" max="2"/>
    <col width="15" customWidth="1" style="77" min="3" max="3"/>
    <col width="18" customWidth="1" style="77" min="4" max="4"/>
    <col width="15" customWidth="1" style="77" min="5" max="5"/>
    <col width="8.859999999999999" customWidth="1" style="77" min="6" max="26"/>
  </cols>
  <sheetData>
    <row r="1">
      <c r="A1" s="90" t="inlineStr">
        <is>
          <t>6️⃣ BFR, INVESTISSEMENTS &amp; FINANCEMENT</t>
        </is>
      </c>
    </row>
    <row r="2">
      <c r="A2" s="44" t="inlineStr">
        <is>
          <t>Toutes les informations financières clés en un seul endroit : trésorerie, BFR, investissements et sources de financement.</t>
        </is>
      </c>
    </row>
    <row r="5">
      <c r="A5" s="91" t="inlineStr">
        <is>
          <t>💰 BFR &amp; TRÉSORERIE</t>
        </is>
      </c>
    </row>
    <row r="7">
      <c r="A7" s="67" t="inlineStr">
        <is>
          <t>Délais de Paiement</t>
        </is>
      </c>
    </row>
    <row r="8">
      <c r="A8" s="68" t="inlineStr">
        <is>
          <t>Délai Clients (DSO)</t>
        </is>
      </c>
      <c r="B8" s="11" t="n">
        <v>45</v>
      </c>
      <c r="C8" s="69" t="inlineStr">
        <is>
          <t>jours</t>
        </is>
      </c>
      <c r="D8" s="70" t="inlineStr">
        <is>
          <t>(Optionnel)</t>
        </is>
      </c>
    </row>
    <row r="9">
      <c r="A9" s="68" t="inlineStr">
        <is>
          <t>Délai Fournisseurs (DPO)</t>
        </is>
      </c>
      <c r="B9" s="11" t="n">
        <v>30</v>
      </c>
      <c r="C9" s="69" t="inlineStr">
        <is>
          <t>jours</t>
        </is>
      </c>
      <c r="D9" s="70" t="inlineStr">
        <is>
          <t>(Optionnel)</t>
        </is>
      </c>
    </row>
    <row r="10">
      <c r="A10" s="68" t="inlineStr">
        <is>
          <t>Stock Moyen</t>
        </is>
      </c>
      <c r="B10" s="11" t="n">
        <v>15</v>
      </c>
      <c r="C10" s="69" t="inlineStr">
        <is>
          <t>jours</t>
        </is>
      </c>
      <c r="D10" s="70" t="inlineStr">
        <is>
          <t>(Optionnel)</t>
        </is>
      </c>
    </row>
    <row r="12">
      <c r="A12" s="67" t="inlineStr">
        <is>
          <t>Trésorerie de Départ</t>
        </is>
      </c>
    </row>
    <row r="13">
      <c r="A13" s="68" t="inlineStr">
        <is>
          <t>Montant en Caisse/Banque</t>
        </is>
      </c>
      <c r="B13" s="11" t="n">
        <v>18000000</v>
      </c>
      <c r="C13" s="69" t="inlineStr">
        <is>
          <t>FCFA</t>
        </is>
      </c>
      <c r="D13" s="71" t="inlineStr">
        <is>
          <t>(Obligatoire)</t>
        </is>
      </c>
    </row>
    <row r="16">
      <c r="A16" s="91" t="inlineStr">
        <is>
          <t>🏗️ INVESTISSEMENTS (CAPEX)</t>
        </is>
      </c>
    </row>
    <row r="18">
      <c r="A18" s="72" t="inlineStr">
        <is>
          <t>Nature de l'Investissement</t>
        </is>
      </c>
      <c r="B18" s="72" t="inlineStr">
        <is>
          <t>Montant (FCFA)</t>
        </is>
      </c>
      <c r="C18" s="72" t="inlineStr">
        <is>
          <t>Année d'Achat</t>
        </is>
      </c>
      <c r="D18" s="72" t="inlineStr">
        <is>
          <t>Durée Amortissement (ans)</t>
        </is>
      </c>
      <c r="E18" s="72" t="inlineStr">
        <is>
          <t>Optionnel</t>
        </is>
      </c>
    </row>
    <row r="19">
      <c r="A19" s="68" t="inlineStr">
        <is>
          <t>Ex: Matériel agricole</t>
        </is>
      </c>
      <c r="B19" s="73" t="n"/>
      <c r="C19" s="73" t="n"/>
      <c r="D19" s="73" t="n"/>
      <c r="E19" s="74" t="inlineStr">
        <is>
          <t>✓</t>
        </is>
      </c>
    </row>
    <row r="20">
      <c r="A20" s="68" t="inlineStr">
        <is>
          <t>Ex: Véhicule de transport</t>
        </is>
      </c>
      <c r="B20" s="73" t="n"/>
      <c r="C20" s="73" t="n"/>
      <c r="D20" s="73" t="n"/>
      <c r="E20" s="74" t="inlineStr">
        <is>
          <t>✓</t>
        </is>
      </c>
    </row>
    <row r="21" ht="15.75" customHeight="1" s="77">
      <c r="A21" s="68" t="inlineStr">
        <is>
          <t>Ex: Infrastructure/Bâtiment</t>
        </is>
      </c>
      <c r="B21" s="73" t="n"/>
      <c r="C21" s="73" t="n"/>
      <c r="D21" s="73" t="n"/>
      <c r="E21" s="74" t="inlineStr">
        <is>
          <t>✓</t>
        </is>
      </c>
    </row>
    <row r="22" ht="15.75" customHeight="1" s="77">
      <c r="A22" s="68" t="inlineStr">
        <is>
          <t>Presse moulage WINKLER #3</t>
        </is>
      </c>
      <c r="B22" s="73" t="n">
        <v>45000000</v>
      </c>
      <c r="C22" s="73" t="n">
        <v>2025</v>
      </c>
      <c r="D22" s="73" t="n">
        <v>7</v>
      </c>
      <c r="E22" s="74" t="n"/>
    </row>
    <row r="23" ht="15.75" customHeight="1" s="77">
      <c r="A23" s="68" t="inlineStr">
        <is>
          <t>Camion collecte IVECO</t>
        </is>
      </c>
      <c r="B23" s="73" t="n">
        <v>22000000</v>
      </c>
      <c r="C23" s="73" t="n">
        <v>2025</v>
      </c>
      <c r="D23" s="73" t="n">
        <v>5</v>
      </c>
      <c r="E23" s="74" t="n"/>
    </row>
    <row r="24" ht="15.75" customHeight="1" s="77">
      <c r="A24" s="68" t="inlineStr">
        <is>
          <t>Extension usine 400m²</t>
        </is>
      </c>
      <c r="B24" s="73" t="n">
        <v>35000000</v>
      </c>
      <c r="C24" s="73" t="n">
        <v>2026</v>
      </c>
      <c r="D24" s="73" t="n">
        <v>10</v>
      </c>
      <c r="E24" s="74" t="n"/>
    </row>
    <row r="25" ht="15.75" customHeight="1" s="77">
      <c r="A25" s="68" t="inlineStr">
        <is>
          <t>Labo qualité</t>
        </is>
      </c>
      <c r="B25" s="73" t="n">
        <v>8000000</v>
      </c>
      <c r="C25" s="73" t="n">
        <v>2025</v>
      </c>
      <c r="D25" s="73" t="n">
        <v>5</v>
      </c>
      <c r="E25" s="74" t="n"/>
    </row>
    <row r="26" ht="15.75" customHeight="1" s="77">
      <c r="A26" s="68" t="inlineStr">
        <is>
          <t>ERP + App mobile</t>
        </is>
      </c>
      <c r="B26" s="73" t="n">
        <v>5000000</v>
      </c>
      <c r="C26" s="73" t="n">
        <v>2025</v>
      </c>
      <c r="D26" s="73" t="n">
        <v>3</v>
      </c>
      <c r="E26" s="74" t="n"/>
    </row>
    <row r="27" ht="15.75" customHeight="1" s="77"/>
    <row r="28" ht="15.75" customHeight="1" s="77"/>
    <row r="29" ht="15.75" customHeight="1" s="77">
      <c r="A29" s="91" t="inlineStr">
        <is>
          <t>💵 SOURCES DE FINANCEMENT</t>
        </is>
      </c>
    </row>
    <row r="30" ht="15.75" customHeight="1" s="77"/>
    <row r="31" ht="15.75" customHeight="1" s="77">
      <c r="A31" s="67" t="inlineStr">
        <is>
          <t>Apports en Capital</t>
        </is>
      </c>
    </row>
    <row r="32" ht="15.75" customHeight="1" s="77">
      <c r="A32" s="68" t="inlineStr">
        <is>
          <t>Montant Total Apports</t>
        </is>
      </c>
      <c r="B32" s="11" t="n">
        <v>50000000</v>
      </c>
      <c r="C32" s="69" t="inlineStr">
        <is>
          <t>FCFA</t>
        </is>
      </c>
    </row>
    <row r="33" ht="15.75" customHeight="1" s="77"/>
    <row r="34" ht="15.75" customHeight="1" s="77">
      <c r="A34" s="67" t="inlineStr">
        <is>
          <t>Subventions &amp; Dons</t>
        </is>
      </c>
    </row>
    <row r="35" ht="15.75" customHeight="1" s="77">
      <c r="A35" s="68" t="inlineStr">
        <is>
          <t>Montant Total Subventions</t>
        </is>
      </c>
      <c r="B35" s="11" t="n">
        <v>75000000</v>
      </c>
      <c r="C35" s="69" t="inlineStr">
        <is>
          <t>FCFA</t>
        </is>
      </c>
    </row>
    <row r="36" ht="15.75" customHeight="1" s="77"/>
    <row r="37" ht="15.75" customHeight="1" s="77">
      <c r="A37" s="67" t="inlineStr">
        <is>
          <t>Prêts &amp; Emprunts</t>
        </is>
      </c>
    </row>
    <row r="38" ht="15.75" customHeight="1" s="77">
      <c r="A38" s="72" t="inlineStr">
        <is>
          <t>Source du Prêt</t>
        </is>
      </c>
      <c r="B38" s="72" t="inlineStr">
        <is>
          <t>Montant (FCFA)</t>
        </is>
      </c>
      <c r="C38" s="72" t="inlineStr">
        <is>
          <t>Taux (%)</t>
        </is>
      </c>
      <c r="D38" s="72" t="inlineStr">
        <is>
          <t>Durée (mois)</t>
        </is>
      </c>
      <c r="E38" s="72" t="inlineStr">
        <is>
          <t>Différé (mois)</t>
        </is>
      </c>
    </row>
    <row r="39" ht="15.75" customHeight="1" s="77">
      <c r="A39" s="68" t="inlineStr">
        <is>
          <t>Ex: Banque Agricole</t>
        </is>
      </c>
      <c r="B39" s="73" t="n"/>
      <c r="C39" s="73" t="n"/>
      <c r="D39" s="73" t="n"/>
      <c r="E39" s="73" t="n"/>
    </row>
    <row r="40" ht="15.75" customHeight="1" s="77">
      <c r="A40" s="68" t="inlineStr">
        <is>
          <t>Ex: Microfinance</t>
        </is>
      </c>
      <c r="B40" s="73" t="n"/>
      <c r="C40" s="73" t="n"/>
      <c r="D40" s="73" t="n"/>
      <c r="E40" s="73" t="n"/>
    </row>
    <row r="41" ht="15.75" customHeight="1" s="77">
      <c r="A41" s="68" t="inlineStr">
        <is>
          <t>Banque Atlantique CI</t>
        </is>
      </c>
      <c r="B41" s="73" t="n">
        <v>60000000</v>
      </c>
      <c r="C41" s="73" t="n">
        <v>8.5</v>
      </c>
      <c r="D41" s="73" t="n">
        <v>60</v>
      </c>
      <c r="E41" s="73" t="n">
        <v>6</v>
      </c>
    </row>
    <row r="42" ht="15.75" customHeight="1" s="77">
      <c r="A42" s="68" t="inlineStr">
        <is>
          <t>BIAO-CI crédit</t>
        </is>
      </c>
      <c r="B42" s="73" t="n">
        <v>25000000</v>
      </c>
      <c r="C42" s="73" t="n">
        <v>9</v>
      </c>
      <c r="D42" s="73" t="n">
        <v>36</v>
      </c>
      <c r="E42" s="73" t="n">
        <v>3</v>
      </c>
    </row>
    <row r="43" ht="15.75" customHeight="1" s="77">
      <c r="A43" s="68" t="inlineStr">
        <is>
          <t>Prêt 3</t>
        </is>
      </c>
      <c r="B43" s="73" t="n"/>
      <c r="C43" s="73" t="n"/>
      <c r="D43" s="73" t="n"/>
      <c r="E43" s="73" t="n"/>
    </row>
    <row r="44" ht="15.75" customHeight="1" s="77"/>
    <row r="45" ht="15.75" customHeight="1" s="77"/>
    <row r="46" ht="15.75" customHeight="1" s="77">
      <c r="A46" s="67" t="inlineStr">
        <is>
          <t>Crédits Spécifiques</t>
        </is>
      </c>
    </row>
    <row r="47" ht="15.75" customHeight="1" s="77">
      <c r="A47" s="68" t="inlineStr">
        <is>
          <t>Crédit Fournisseurs</t>
        </is>
      </c>
      <c r="B47" s="11" t="n">
        <v>8000000</v>
      </c>
      <c r="C47" s="69" t="inlineStr">
        <is>
          <t>FCFA</t>
        </is>
      </c>
    </row>
    <row r="48" ht="15.75" customHeight="1" s="77">
      <c r="A48" s="68" t="inlineStr">
        <is>
          <t>Crédit Bancaire</t>
        </is>
      </c>
      <c r="B48" s="11" t="n">
        <v>15000000</v>
      </c>
      <c r="C48" s="69" t="inlineStr">
        <is>
          <t>FCFA</t>
        </is>
      </c>
    </row>
    <row r="49" ht="15.75" customHeight="1" s="77"/>
    <row r="50" ht="15.75" customHeight="1" s="77"/>
    <row r="51" ht="15.75" customHeight="1" s="77">
      <c r="A51" s="86" t="inlineStr">
        <is>
          <t>💡 Conseil : Remplissez au minimum la trésorerie de départ et les apports en capital. Les autres champs sont optionnels mais recommandés pour une projection précise.</t>
        </is>
      </c>
    </row>
    <row r="52" ht="15.75" customHeight="1" s="77"/>
    <row r="53" ht="15.75" customHeight="1" s="77"/>
    <row r="54" ht="15.75" customHeight="1" s="77"/>
    <row r="55" ht="15.75" customHeight="1" s="77"/>
    <row r="56" ht="15.75" customHeight="1" s="77"/>
    <row r="57" ht="15.75" customHeight="1" s="77"/>
    <row r="58" ht="15.75" customHeight="1" s="77"/>
    <row r="59" ht="15.75" customHeight="1" s="77"/>
    <row r="60" ht="15.75" customHeight="1" s="77"/>
    <row r="61" ht="15.75" customHeight="1" s="77"/>
    <row r="62" ht="15.75" customHeight="1" s="77"/>
    <row r="63" ht="15.75" customHeight="1" s="77"/>
    <row r="64" ht="15.75" customHeight="1" s="77"/>
    <row r="65" ht="15.75" customHeight="1" s="77"/>
    <row r="66" ht="15.75" customHeight="1" s="77"/>
    <row r="67" ht="15.75" customHeight="1" s="77"/>
    <row r="68" ht="15.75" customHeight="1" s="77"/>
    <row r="69" ht="15.75" customHeight="1" s="77"/>
    <row r="70" ht="15.75" customHeight="1" s="77"/>
    <row r="71" ht="15.75" customHeight="1" s="77"/>
    <row r="72" ht="15.75" customHeight="1" s="77"/>
    <row r="73" ht="15.75" customHeight="1" s="77"/>
    <row r="74" ht="15.75" customHeight="1" s="77"/>
    <row r="75" ht="15.75" customHeight="1" s="77"/>
    <row r="76" ht="15.75" customHeight="1" s="77"/>
    <row r="77" ht="15.75" customHeight="1" s="77"/>
    <row r="78" ht="15.75" customHeight="1" s="77"/>
    <row r="79" ht="15.75" customHeight="1" s="77"/>
    <row r="80" ht="15.75" customHeight="1" s="77"/>
    <row r="81" ht="15.75" customHeight="1" s="77"/>
    <row r="82" ht="15.75" customHeight="1" s="77"/>
    <row r="83" ht="15.75" customHeight="1" s="77"/>
    <row r="84" ht="15.75" customHeight="1" s="77"/>
    <row r="85" ht="15.75" customHeight="1" s="77"/>
    <row r="86" ht="15.75" customHeight="1" s="77"/>
    <row r="87" ht="15.75" customHeight="1" s="77"/>
    <row r="88" ht="15.75" customHeight="1" s="77"/>
    <row r="89" ht="15.75" customHeight="1" s="77"/>
    <row r="90" ht="15.75" customHeight="1" s="77"/>
    <row r="91" ht="15.75" customHeight="1" s="77"/>
    <row r="92" ht="15.75" customHeight="1" s="77"/>
    <row r="93" ht="15.75" customHeight="1" s="77"/>
    <row r="94" ht="15.75" customHeight="1" s="77"/>
    <row r="95" ht="15.75" customHeight="1" s="77"/>
    <row r="96" ht="15.75" customHeight="1" s="77"/>
    <row r="97" ht="15.75" customHeight="1" s="77"/>
    <row r="98" ht="15.75" customHeight="1" s="77"/>
    <row r="99" ht="15.75" customHeight="1" s="77"/>
    <row r="100" ht="15.75" customHeight="1" s="77"/>
    <row r="101" ht="15.75" customHeight="1" s="77"/>
    <row r="102" ht="15.75" customHeight="1" s="77"/>
    <row r="103" ht="15.75" customHeight="1" s="77"/>
    <row r="104" ht="15.75" customHeight="1" s="77"/>
    <row r="105" ht="15.75" customHeight="1" s="77"/>
    <row r="106" ht="15.75" customHeight="1" s="77"/>
    <row r="107" ht="15.75" customHeight="1" s="77"/>
    <row r="108" ht="15.75" customHeight="1" s="77"/>
    <row r="109" ht="15.75" customHeight="1" s="77"/>
    <row r="110" ht="15.75" customHeight="1" s="77"/>
    <row r="111" ht="15.75" customHeight="1" s="77"/>
    <row r="112" ht="15.75" customHeight="1" s="77"/>
    <row r="113" ht="15.75" customHeight="1" s="77"/>
    <row r="114" ht="15.75" customHeight="1" s="77"/>
    <row r="115" ht="15.75" customHeight="1" s="77"/>
    <row r="116" ht="15.75" customHeight="1" s="77"/>
    <row r="117" ht="15.75" customHeight="1" s="77"/>
    <row r="118" ht="15.75" customHeight="1" s="77"/>
    <row r="119" ht="15.75" customHeight="1" s="77"/>
    <row r="120" ht="15.75" customHeight="1" s="77"/>
    <row r="121" ht="15.75" customHeight="1" s="77"/>
    <row r="122" ht="15.75" customHeight="1" s="77"/>
    <row r="123" ht="15.75" customHeight="1" s="77"/>
    <row r="124" ht="15.75" customHeight="1" s="77"/>
    <row r="125" ht="15.75" customHeight="1" s="77"/>
    <row r="126" ht="15.75" customHeight="1" s="77"/>
    <row r="127" ht="15.75" customHeight="1" s="77"/>
    <row r="128" ht="15.75" customHeight="1" s="77"/>
    <row r="129" ht="15.75" customHeight="1" s="77"/>
    <row r="130" ht="15.75" customHeight="1" s="77"/>
    <row r="131" ht="15.75" customHeight="1" s="77"/>
    <row r="132" ht="15.75" customHeight="1" s="77"/>
    <row r="133" ht="15.75" customHeight="1" s="77"/>
    <row r="134" ht="15.75" customHeight="1" s="77"/>
    <row r="135" ht="15.75" customHeight="1" s="77"/>
    <row r="136" ht="15.75" customHeight="1" s="77"/>
    <row r="137" ht="15.75" customHeight="1" s="77"/>
    <row r="138" ht="15.75" customHeight="1" s="77"/>
    <row r="139" ht="15.75" customHeight="1" s="77"/>
    <row r="140" ht="15.75" customHeight="1" s="77"/>
    <row r="141" ht="15.75" customHeight="1" s="77"/>
    <row r="142" ht="15.75" customHeight="1" s="77"/>
    <row r="143" ht="15.75" customHeight="1" s="77"/>
    <row r="144" ht="15.75" customHeight="1" s="77"/>
    <row r="145" ht="15.75" customHeight="1" s="77"/>
    <row r="146" ht="15.75" customHeight="1" s="77"/>
    <row r="147" ht="15.75" customHeight="1" s="77"/>
    <row r="148" ht="15.75" customHeight="1" s="77"/>
    <row r="149" ht="15.75" customHeight="1" s="77"/>
    <row r="150" ht="15.75" customHeight="1" s="77"/>
    <row r="151" ht="15.75" customHeight="1" s="77"/>
    <row r="152" ht="15.75" customHeight="1" s="77"/>
    <row r="153" ht="15.75" customHeight="1" s="77"/>
    <row r="154" ht="15.75" customHeight="1" s="77"/>
    <row r="155" ht="15.75" customHeight="1" s="77"/>
    <row r="156" ht="15.75" customHeight="1" s="77"/>
    <row r="157" ht="15.75" customHeight="1" s="77"/>
    <row r="158" ht="15.75" customHeight="1" s="77"/>
    <row r="159" ht="15.75" customHeight="1" s="77"/>
    <row r="160" ht="15.75" customHeight="1" s="77"/>
    <row r="161" ht="15.75" customHeight="1" s="77"/>
    <row r="162" ht="15.75" customHeight="1" s="77"/>
    <row r="163" ht="15.75" customHeight="1" s="77"/>
    <row r="164" ht="15.75" customHeight="1" s="77"/>
    <row r="165" ht="15.75" customHeight="1" s="77"/>
    <row r="166" ht="15.75" customHeight="1" s="77"/>
    <row r="167" ht="15.75" customHeight="1" s="77"/>
    <row r="168" ht="15.75" customHeight="1" s="77"/>
    <row r="169" ht="15.75" customHeight="1" s="77"/>
    <row r="170" ht="15.75" customHeight="1" s="77"/>
    <row r="171" ht="15.75" customHeight="1" s="77"/>
    <row r="172" ht="15.75" customHeight="1" s="77"/>
    <row r="173" ht="15.75" customHeight="1" s="77"/>
    <row r="174" ht="15.75" customHeight="1" s="77"/>
    <row r="175" ht="15.75" customHeight="1" s="77"/>
    <row r="176" ht="15.75" customHeight="1" s="77"/>
    <row r="177" ht="15.75" customHeight="1" s="77"/>
    <row r="178" ht="15.75" customHeight="1" s="77"/>
    <row r="179" ht="15.75" customHeight="1" s="77"/>
    <row r="180" ht="15.75" customHeight="1" s="77"/>
    <row r="181" ht="15.75" customHeight="1" s="77"/>
    <row r="182" ht="15.75" customHeight="1" s="77"/>
    <row r="183" ht="15.75" customHeight="1" s="77"/>
    <row r="184" ht="15.75" customHeight="1" s="77"/>
    <row r="185" ht="15.75" customHeight="1" s="77"/>
    <row r="186" ht="15.75" customHeight="1" s="77"/>
    <row r="187" ht="15.75" customHeight="1" s="77"/>
    <row r="188" ht="15.75" customHeight="1" s="77"/>
    <row r="189" ht="15.75" customHeight="1" s="77"/>
    <row r="190" ht="15.75" customHeight="1" s="77"/>
    <row r="191" ht="15.75" customHeight="1" s="77"/>
    <row r="192" ht="15.75" customHeight="1" s="77"/>
    <row r="193" ht="15.75" customHeight="1" s="77"/>
    <row r="194" ht="15.75" customHeight="1" s="77"/>
    <row r="195" ht="15.75" customHeight="1" s="77"/>
    <row r="196" ht="15.75" customHeight="1" s="77"/>
    <row r="197" ht="15.75" customHeight="1" s="77"/>
    <row r="198" ht="15.75" customHeight="1" s="77"/>
    <row r="199" ht="15.75" customHeight="1" s="77"/>
    <row r="200" ht="15.75" customHeight="1" s="77"/>
    <row r="201" ht="15.75" customHeight="1" s="77"/>
    <row r="202" ht="15.75" customHeight="1" s="77"/>
    <row r="203" ht="15.75" customHeight="1" s="77"/>
    <row r="204" ht="15.75" customHeight="1" s="77"/>
    <row r="205" ht="15.75" customHeight="1" s="77"/>
    <row r="206" ht="15.75" customHeight="1" s="77"/>
    <row r="207" ht="15.75" customHeight="1" s="77"/>
    <row r="208" ht="15.75" customHeight="1" s="77"/>
    <row r="209" ht="15.75" customHeight="1" s="77"/>
    <row r="210" ht="15.75" customHeight="1" s="77"/>
    <row r="211" ht="15.75" customHeight="1" s="77"/>
    <row r="212" ht="15.75" customHeight="1" s="77"/>
    <row r="213" ht="15.75" customHeight="1" s="77"/>
    <row r="214" ht="15.75" customHeight="1" s="77"/>
    <row r="215" ht="15.75" customHeight="1" s="77"/>
    <row r="216" ht="15.75" customHeight="1" s="77"/>
    <row r="217" ht="15.75" customHeight="1" s="77"/>
    <row r="218" ht="15.75" customHeight="1" s="77"/>
    <row r="219" ht="15.75" customHeight="1" s="77"/>
    <row r="220" ht="15.75" customHeight="1" s="77"/>
    <row r="221" ht="15.75" customHeight="1" s="77"/>
    <row r="222" ht="15.75" customHeight="1" s="77"/>
    <row r="223" ht="15.75" customHeight="1" s="77"/>
    <row r="224" ht="15.75" customHeight="1" s="77"/>
    <row r="225" ht="15.75" customHeight="1" s="77"/>
    <row r="226" ht="15.75" customHeight="1" s="77"/>
    <row r="227" ht="15.75" customHeight="1" s="77"/>
    <row r="228" ht="15.75" customHeight="1" s="77"/>
    <row r="229" ht="15.75" customHeight="1" s="77"/>
    <row r="230" ht="15.75" customHeight="1" s="77"/>
    <row r="231" ht="15.75" customHeight="1" s="77"/>
    <row r="232" ht="15.75" customHeight="1" s="77"/>
    <row r="233" ht="15.75" customHeight="1" s="77"/>
    <row r="234" ht="15.75" customHeight="1" s="77"/>
    <row r="235" ht="15.75" customHeight="1" s="77"/>
    <row r="236" ht="15.75" customHeight="1" s="77"/>
    <row r="237" ht="15.75" customHeight="1" s="77"/>
    <row r="238" ht="15.75" customHeight="1" s="77"/>
    <row r="239" ht="15.75" customHeight="1" s="77"/>
    <row r="240" ht="15.75" customHeight="1" s="77"/>
    <row r="241" ht="15.75" customHeight="1" s="77"/>
    <row r="242" ht="15.75" customHeight="1" s="77"/>
    <row r="243" ht="15.75" customHeight="1" s="77"/>
    <row r="244" ht="15.75" customHeight="1" s="77"/>
    <row r="245" ht="15.75" customHeight="1" s="77"/>
    <row r="246" ht="15.75" customHeight="1" s="77"/>
    <row r="247" ht="15.75" customHeight="1" s="77"/>
    <row r="248" ht="15.75" customHeight="1" s="77"/>
    <row r="249" ht="15.75" customHeight="1" s="77"/>
    <row r="250" ht="15.75" customHeight="1" s="77"/>
    <row r="251" ht="15.75" customHeight="1" s="77"/>
    <row r="252" ht="15.75" customHeight="1" s="77"/>
    <row r="253" ht="15.75" customHeight="1" s="77"/>
    <row r="254" ht="15.75" customHeight="1" s="77"/>
    <row r="255" ht="15.75" customHeight="1" s="77"/>
    <row r="256" ht="15.75" customHeight="1" s="77"/>
    <row r="257" ht="15.75" customHeight="1" s="77"/>
    <row r="258" ht="15.75" customHeight="1" s="77"/>
    <row r="259" ht="15.75" customHeight="1" s="77"/>
    <row r="260" ht="15.75" customHeight="1" s="77"/>
    <row r="261" ht="15.75" customHeight="1" s="77"/>
    <row r="262" ht="15.75" customHeight="1" s="77"/>
    <row r="263" ht="15.75" customHeight="1" s="77"/>
    <row r="264" ht="15.75" customHeight="1" s="77"/>
    <row r="265" ht="15.75" customHeight="1" s="77"/>
    <row r="266" ht="15.75" customHeight="1" s="77"/>
    <row r="267" ht="15.75" customHeight="1" s="77"/>
    <row r="268" ht="15.75" customHeight="1" s="77"/>
    <row r="269" ht="15.75" customHeight="1" s="77"/>
    <row r="270" ht="15.75" customHeight="1" s="77"/>
    <row r="271" ht="15.75" customHeight="1" s="77"/>
    <row r="272" ht="15.75" customHeight="1" s="77"/>
    <row r="273" ht="15.75" customHeight="1" s="77"/>
    <row r="274" ht="15.75" customHeight="1" s="77"/>
    <row r="275" ht="15.75" customHeight="1" s="77"/>
    <row r="276" ht="15.75" customHeight="1" s="77"/>
    <row r="277" ht="15.75" customHeight="1" s="77"/>
    <row r="278" ht="15.75" customHeight="1" s="77"/>
    <row r="279" ht="15.75" customHeight="1" s="77"/>
    <row r="280" ht="15.75" customHeight="1" s="77"/>
    <row r="281" ht="15.75" customHeight="1" s="77"/>
    <row r="282" ht="15.75" customHeight="1" s="77"/>
    <row r="283" ht="15.75" customHeight="1" s="77"/>
    <row r="284" ht="15.75" customHeight="1" s="77"/>
    <row r="285" ht="15.75" customHeight="1" s="77"/>
    <row r="286" ht="15.75" customHeight="1" s="77"/>
    <row r="287" ht="15.75" customHeight="1" s="77"/>
    <row r="288" ht="15.75" customHeight="1" s="77"/>
    <row r="289" ht="15.75" customHeight="1" s="77"/>
    <row r="290" ht="15.75" customHeight="1" s="77"/>
    <row r="291" ht="15.75" customHeight="1" s="77"/>
    <row r="292" ht="15.75" customHeight="1" s="77"/>
    <row r="293" ht="15.75" customHeight="1" s="77"/>
    <row r="294" ht="15.75" customHeight="1" s="77"/>
    <row r="295" ht="15.75" customHeight="1" s="77"/>
    <row r="296" ht="15.75" customHeight="1" s="77"/>
    <row r="297" ht="15.75" customHeight="1" s="77"/>
    <row r="298" ht="15.75" customHeight="1" s="77"/>
    <row r="299" ht="15.75" customHeight="1" s="77"/>
    <row r="300" ht="15.75" customHeight="1" s="77"/>
    <row r="301" ht="15.75" customHeight="1" s="77"/>
    <row r="302" ht="15.75" customHeight="1" s="77"/>
    <row r="303" ht="15.75" customHeight="1" s="77"/>
    <row r="304" ht="15.75" customHeight="1" s="77"/>
    <row r="305" ht="15.75" customHeight="1" s="77"/>
    <row r="306" ht="15.75" customHeight="1" s="77"/>
    <row r="307" ht="15.75" customHeight="1" s="77"/>
    <row r="308" ht="15.75" customHeight="1" s="77"/>
    <row r="309" ht="15.75" customHeight="1" s="77"/>
    <row r="310" ht="15.75" customHeight="1" s="77"/>
    <row r="311" ht="15.75" customHeight="1" s="77"/>
    <row r="312" ht="15.75" customHeight="1" s="77"/>
    <row r="313" ht="15.75" customHeight="1" s="77"/>
    <row r="314" ht="15.75" customHeight="1" s="77"/>
    <row r="315" ht="15.75" customHeight="1" s="77"/>
    <row r="316" ht="15.75" customHeight="1" s="77"/>
    <row r="317" ht="15.75" customHeight="1" s="77"/>
    <row r="318" ht="15.75" customHeight="1" s="77"/>
    <row r="319" ht="15.75" customHeight="1" s="77"/>
    <row r="320" ht="15.75" customHeight="1" s="77"/>
    <row r="321" ht="15.75" customHeight="1" s="77"/>
    <row r="322" ht="15.75" customHeight="1" s="77"/>
    <row r="323" ht="15.75" customHeight="1" s="77"/>
    <row r="324" ht="15.75" customHeight="1" s="77"/>
    <row r="325" ht="15.75" customHeight="1" s="77"/>
    <row r="326" ht="15.75" customHeight="1" s="77"/>
    <row r="327" ht="15.75" customHeight="1" s="77"/>
    <row r="328" ht="15.75" customHeight="1" s="77"/>
    <row r="329" ht="15.75" customHeight="1" s="77"/>
    <row r="330" ht="15.75" customHeight="1" s="77"/>
    <row r="331" ht="15.75" customHeight="1" s="77"/>
    <row r="332" ht="15.75" customHeight="1" s="77"/>
    <row r="333" ht="15.75" customHeight="1" s="77"/>
    <row r="334" ht="15.75" customHeight="1" s="77"/>
    <row r="335" ht="15.75" customHeight="1" s="77"/>
    <row r="336" ht="15.75" customHeight="1" s="77"/>
    <row r="337" ht="15.75" customHeight="1" s="77"/>
    <row r="338" ht="15.75" customHeight="1" s="77"/>
    <row r="339" ht="15.75" customHeight="1" s="77"/>
    <row r="340" ht="15.75" customHeight="1" s="77"/>
    <row r="341" ht="15.75" customHeight="1" s="77"/>
    <row r="342" ht="15.75" customHeight="1" s="77"/>
    <row r="343" ht="15.75" customHeight="1" s="77"/>
    <row r="344" ht="15.75" customHeight="1" s="77"/>
    <row r="345" ht="15.75" customHeight="1" s="77"/>
    <row r="346" ht="15.75" customHeight="1" s="77"/>
    <row r="347" ht="15.75" customHeight="1" s="77"/>
    <row r="348" ht="15.75" customHeight="1" s="77"/>
    <row r="349" ht="15.75" customHeight="1" s="77"/>
    <row r="350" ht="15.75" customHeight="1" s="77"/>
    <row r="351" ht="15.75" customHeight="1" s="77"/>
    <row r="352" ht="15.75" customHeight="1" s="77"/>
    <row r="353" ht="15.75" customHeight="1" s="77"/>
    <row r="354" ht="15.75" customHeight="1" s="77"/>
    <row r="355" ht="15.75" customHeight="1" s="77"/>
    <row r="356" ht="15.75" customHeight="1" s="77"/>
    <row r="357" ht="15.75" customHeight="1" s="77"/>
    <row r="358" ht="15.75" customHeight="1" s="77"/>
    <row r="359" ht="15.75" customHeight="1" s="77"/>
    <row r="360" ht="15.75" customHeight="1" s="77"/>
    <row r="361" ht="15.75" customHeight="1" s="77"/>
    <row r="362" ht="15.75" customHeight="1" s="77"/>
    <row r="363" ht="15.75" customHeight="1" s="77"/>
    <row r="364" ht="15.75" customHeight="1" s="77"/>
    <row r="365" ht="15.75" customHeight="1" s="77"/>
    <row r="366" ht="15.75" customHeight="1" s="77"/>
    <row r="367" ht="15.75" customHeight="1" s="77"/>
    <row r="368" ht="15.75" customHeight="1" s="77"/>
    <row r="369" ht="15.75" customHeight="1" s="77"/>
    <row r="370" ht="15.75" customHeight="1" s="77"/>
    <row r="371" ht="15.75" customHeight="1" s="77"/>
    <row r="372" ht="15.75" customHeight="1" s="77"/>
    <row r="373" ht="15.75" customHeight="1" s="77"/>
    <row r="374" ht="15.75" customHeight="1" s="77"/>
    <row r="375" ht="15.75" customHeight="1" s="77"/>
    <row r="376" ht="15.75" customHeight="1" s="77"/>
    <row r="377" ht="15.75" customHeight="1" s="77"/>
    <row r="378" ht="15.75" customHeight="1" s="77"/>
    <row r="379" ht="15.75" customHeight="1" s="77"/>
    <row r="380" ht="15.75" customHeight="1" s="77"/>
    <row r="381" ht="15.75" customHeight="1" s="77"/>
    <row r="382" ht="15.75" customHeight="1" s="77"/>
    <row r="383" ht="15.75" customHeight="1" s="77"/>
    <row r="384" ht="15.75" customHeight="1" s="77"/>
    <row r="385" ht="15.75" customHeight="1" s="77"/>
    <row r="386" ht="15.75" customHeight="1" s="77"/>
    <row r="387" ht="15.75" customHeight="1" s="77"/>
    <row r="388" ht="15.75" customHeight="1" s="77"/>
    <row r="389" ht="15.75" customHeight="1" s="77"/>
    <row r="390" ht="15.75" customHeight="1" s="77"/>
    <row r="391" ht="15.75" customHeight="1" s="77"/>
    <row r="392" ht="15.75" customHeight="1" s="77"/>
    <row r="393" ht="15.75" customHeight="1" s="77"/>
    <row r="394" ht="15.75" customHeight="1" s="77"/>
    <row r="395" ht="15.75" customHeight="1" s="77"/>
    <row r="396" ht="15.75" customHeight="1" s="77"/>
    <row r="397" ht="15.75" customHeight="1" s="77"/>
    <row r="398" ht="15.75" customHeight="1" s="77"/>
    <row r="399" ht="15.75" customHeight="1" s="77"/>
    <row r="400" ht="15.75" customHeight="1" s="77"/>
    <row r="401" ht="15.75" customHeight="1" s="77"/>
    <row r="402" ht="15.75" customHeight="1" s="77"/>
    <row r="403" ht="15.75" customHeight="1" s="77"/>
    <row r="404" ht="15.75" customHeight="1" s="77"/>
    <row r="405" ht="15.75" customHeight="1" s="77"/>
    <row r="406" ht="15.75" customHeight="1" s="77"/>
    <row r="407" ht="15.75" customHeight="1" s="77"/>
    <row r="408" ht="15.75" customHeight="1" s="77"/>
    <row r="409" ht="15.75" customHeight="1" s="77"/>
    <row r="410" ht="15.75" customHeight="1" s="77"/>
    <row r="411" ht="15.75" customHeight="1" s="77"/>
    <row r="412" ht="15.75" customHeight="1" s="77"/>
    <row r="413" ht="15.75" customHeight="1" s="77"/>
    <row r="414" ht="15.75" customHeight="1" s="77"/>
    <row r="415" ht="15.75" customHeight="1" s="77"/>
    <row r="416" ht="15.75" customHeight="1" s="77"/>
    <row r="417" ht="15.75" customHeight="1" s="77"/>
    <row r="418" ht="15.75" customHeight="1" s="77"/>
    <row r="419" ht="15.75" customHeight="1" s="77"/>
    <row r="420" ht="15.75" customHeight="1" s="77"/>
    <row r="421" ht="15.75" customHeight="1" s="77"/>
    <row r="422" ht="15.75" customHeight="1" s="77"/>
    <row r="423" ht="15.75" customHeight="1" s="77"/>
    <row r="424" ht="15.75" customHeight="1" s="77"/>
    <row r="425" ht="15.75" customHeight="1" s="77"/>
    <row r="426" ht="15.75" customHeight="1" s="77"/>
    <row r="427" ht="15.75" customHeight="1" s="77"/>
    <row r="428" ht="15.75" customHeight="1" s="77"/>
    <row r="429" ht="15.75" customHeight="1" s="77"/>
    <row r="430" ht="15.75" customHeight="1" s="77"/>
    <row r="431" ht="15.75" customHeight="1" s="77"/>
    <row r="432" ht="15.75" customHeight="1" s="77"/>
    <row r="433" ht="15.75" customHeight="1" s="77"/>
    <row r="434" ht="15.75" customHeight="1" s="77"/>
    <row r="435" ht="15.75" customHeight="1" s="77"/>
    <row r="436" ht="15.75" customHeight="1" s="77"/>
    <row r="437" ht="15.75" customHeight="1" s="77"/>
    <row r="438" ht="15.75" customHeight="1" s="77"/>
    <row r="439" ht="15.75" customHeight="1" s="77"/>
    <row r="440" ht="15.75" customHeight="1" s="77"/>
    <row r="441" ht="15.75" customHeight="1" s="77"/>
    <row r="442" ht="15.75" customHeight="1" s="77"/>
    <row r="443" ht="15.75" customHeight="1" s="77"/>
    <row r="444" ht="15.75" customHeight="1" s="77"/>
    <row r="445" ht="15.75" customHeight="1" s="77"/>
    <row r="446" ht="15.75" customHeight="1" s="77"/>
    <row r="447" ht="15.75" customHeight="1" s="77"/>
    <row r="448" ht="15.75" customHeight="1" s="77"/>
    <row r="449" ht="15.75" customHeight="1" s="77"/>
    <row r="450" ht="15.75" customHeight="1" s="77"/>
    <row r="451" ht="15.75" customHeight="1" s="77"/>
    <row r="452" ht="15.75" customHeight="1" s="77"/>
    <row r="453" ht="15.75" customHeight="1" s="77"/>
    <row r="454" ht="15.75" customHeight="1" s="77"/>
    <row r="455" ht="15.75" customHeight="1" s="77"/>
    <row r="456" ht="15.75" customHeight="1" s="77"/>
    <row r="457" ht="15.75" customHeight="1" s="77"/>
    <row r="458" ht="15.75" customHeight="1" s="77"/>
    <row r="459" ht="15.75" customHeight="1" s="77"/>
    <row r="460" ht="15.75" customHeight="1" s="77"/>
    <row r="461" ht="15.75" customHeight="1" s="77"/>
    <row r="462" ht="15.75" customHeight="1" s="77"/>
    <row r="463" ht="15.75" customHeight="1" s="77"/>
    <row r="464" ht="15.75" customHeight="1" s="77"/>
    <row r="465" ht="15.75" customHeight="1" s="77"/>
    <row r="466" ht="15.75" customHeight="1" s="77"/>
    <row r="467" ht="15.75" customHeight="1" s="77"/>
    <row r="468" ht="15.75" customHeight="1" s="77"/>
    <row r="469" ht="15.75" customHeight="1" s="77"/>
    <row r="470" ht="15.75" customHeight="1" s="77"/>
    <row r="471" ht="15.75" customHeight="1" s="77"/>
    <row r="472" ht="15.75" customHeight="1" s="77"/>
    <row r="473" ht="15.75" customHeight="1" s="77"/>
    <row r="474" ht="15.75" customHeight="1" s="77"/>
    <row r="475" ht="15.75" customHeight="1" s="77"/>
    <row r="476" ht="15.75" customHeight="1" s="77"/>
    <row r="477" ht="15.75" customHeight="1" s="77"/>
    <row r="478" ht="15.75" customHeight="1" s="77"/>
    <row r="479" ht="15.75" customHeight="1" s="77"/>
    <row r="480" ht="15.75" customHeight="1" s="77"/>
    <row r="481" ht="15.75" customHeight="1" s="77"/>
    <row r="482" ht="15.75" customHeight="1" s="77"/>
    <row r="483" ht="15.75" customHeight="1" s="77"/>
    <row r="484" ht="15.75" customHeight="1" s="77"/>
    <row r="485" ht="15.75" customHeight="1" s="77"/>
    <row r="486" ht="15.75" customHeight="1" s="77"/>
    <row r="487" ht="15.75" customHeight="1" s="77"/>
    <row r="488" ht="15.75" customHeight="1" s="77"/>
    <row r="489" ht="15.75" customHeight="1" s="77"/>
    <row r="490" ht="15.75" customHeight="1" s="77"/>
    <row r="491" ht="15.75" customHeight="1" s="77"/>
    <row r="492" ht="15.75" customHeight="1" s="77"/>
    <row r="493" ht="15.75" customHeight="1" s="77"/>
    <row r="494" ht="15.75" customHeight="1" s="77"/>
    <row r="495" ht="15.75" customHeight="1" s="77"/>
    <row r="496" ht="15.75" customHeight="1" s="77"/>
    <row r="497" ht="15.75" customHeight="1" s="77"/>
    <row r="498" ht="15.75" customHeight="1" s="77"/>
    <row r="499" ht="15.75" customHeight="1" s="77"/>
    <row r="500" ht="15.75" customHeight="1" s="77"/>
    <row r="501" ht="15.75" customHeight="1" s="77"/>
    <row r="502" ht="15.75" customHeight="1" s="77"/>
    <row r="503" ht="15.75" customHeight="1" s="77"/>
    <row r="504" ht="15.75" customHeight="1" s="77"/>
    <row r="505" ht="15.75" customHeight="1" s="77"/>
    <row r="506" ht="15.75" customHeight="1" s="77"/>
    <row r="507" ht="15.75" customHeight="1" s="77"/>
    <row r="508" ht="15.75" customHeight="1" s="77"/>
    <row r="509" ht="15.75" customHeight="1" s="77"/>
    <row r="510" ht="15.75" customHeight="1" s="77"/>
    <row r="511" ht="15.75" customHeight="1" s="77"/>
    <row r="512" ht="15.75" customHeight="1" s="77"/>
    <row r="513" ht="15.75" customHeight="1" s="77"/>
    <row r="514" ht="15.75" customHeight="1" s="77"/>
    <row r="515" ht="15.75" customHeight="1" s="77"/>
    <row r="516" ht="15.75" customHeight="1" s="77"/>
    <row r="517" ht="15.75" customHeight="1" s="77"/>
    <row r="518" ht="15.75" customHeight="1" s="77"/>
    <row r="519" ht="15.75" customHeight="1" s="77"/>
    <row r="520" ht="15.75" customHeight="1" s="77"/>
    <row r="521" ht="15.75" customHeight="1" s="77"/>
    <row r="522" ht="15.75" customHeight="1" s="77"/>
    <row r="523" ht="15.75" customHeight="1" s="77"/>
    <row r="524" ht="15.75" customHeight="1" s="77"/>
    <row r="525" ht="15.75" customHeight="1" s="77"/>
    <row r="526" ht="15.75" customHeight="1" s="77"/>
    <row r="527" ht="15.75" customHeight="1" s="77"/>
    <row r="528" ht="15.75" customHeight="1" s="77"/>
    <row r="529" ht="15.75" customHeight="1" s="77"/>
    <row r="530" ht="15.75" customHeight="1" s="77"/>
    <row r="531" ht="15.75" customHeight="1" s="77"/>
    <row r="532" ht="15.75" customHeight="1" s="77"/>
    <row r="533" ht="15.75" customHeight="1" s="77"/>
    <row r="534" ht="15.75" customHeight="1" s="77"/>
    <row r="535" ht="15.75" customHeight="1" s="77"/>
    <row r="536" ht="15.75" customHeight="1" s="77"/>
    <row r="537" ht="15.75" customHeight="1" s="77"/>
    <row r="538" ht="15.75" customHeight="1" s="77"/>
    <row r="539" ht="15.75" customHeight="1" s="77"/>
    <row r="540" ht="15.75" customHeight="1" s="77"/>
    <row r="541" ht="15.75" customHeight="1" s="77"/>
    <row r="542" ht="15.75" customHeight="1" s="77"/>
    <row r="543" ht="15.75" customHeight="1" s="77"/>
    <row r="544" ht="15.75" customHeight="1" s="77"/>
    <row r="545" ht="15.75" customHeight="1" s="77"/>
    <row r="546" ht="15.75" customHeight="1" s="77"/>
    <row r="547" ht="15.75" customHeight="1" s="77"/>
    <row r="548" ht="15.75" customHeight="1" s="77"/>
    <row r="549" ht="15.75" customHeight="1" s="77"/>
    <row r="550" ht="15.75" customHeight="1" s="77"/>
    <row r="551" ht="15.75" customHeight="1" s="77"/>
    <row r="552" ht="15.75" customHeight="1" s="77"/>
    <row r="553" ht="15.75" customHeight="1" s="77"/>
    <row r="554" ht="15.75" customHeight="1" s="77"/>
    <row r="555" ht="15.75" customHeight="1" s="77"/>
    <row r="556" ht="15.75" customHeight="1" s="77"/>
    <row r="557" ht="15.75" customHeight="1" s="77"/>
    <row r="558" ht="15.75" customHeight="1" s="77"/>
    <row r="559" ht="15.75" customHeight="1" s="77"/>
    <row r="560" ht="15.75" customHeight="1" s="77"/>
    <row r="561" ht="15.75" customHeight="1" s="77"/>
    <row r="562" ht="15.75" customHeight="1" s="77"/>
    <row r="563" ht="15.75" customHeight="1" s="77"/>
    <row r="564" ht="15.75" customHeight="1" s="77"/>
    <row r="565" ht="15.75" customHeight="1" s="77"/>
    <row r="566" ht="15.75" customHeight="1" s="77"/>
    <row r="567" ht="15.75" customHeight="1" s="77"/>
    <row r="568" ht="15.75" customHeight="1" s="77"/>
    <row r="569" ht="15.75" customHeight="1" s="77"/>
    <row r="570" ht="15.75" customHeight="1" s="77"/>
    <row r="571" ht="15.75" customHeight="1" s="77"/>
    <row r="572" ht="15.75" customHeight="1" s="77"/>
    <row r="573" ht="15.75" customHeight="1" s="77"/>
    <row r="574" ht="15.75" customHeight="1" s="77"/>
    <row r="575" ht="15.75" customHeight="1" s="77"/>
    <row r="576" ht="15.75" customHeight="1" s="77"/>
    <row r="577" ht="15.75" customHeight="1" s="77"/>
    <row r="578" ht="15.75" customHeight="1" s="77"/>
    <row r="579" ht="15.75" customHeight="1" s="77"/>
    <row r="580" ht="15.75" customHeight="1" s="77"/>
    <row r="581" ht="15.75" customHeight="1" s="77"/>
    <row r="582" ht="15.75" customHeight="1" s="77"/>
    <row r="583" ht="15.75" customHeight="1" s="77"/>
    <row r="584" ht="15.75" customHeight="1" s="77"/>
    <row r="585" ht="15.75" customHeight="1" s="77"/>
    <row r="586" ht="15.75" customHeight="1" s="77"/>
    <row r="587" ht="15.75" customHeight="1" s="77"/>
    <row r="588" ht="15.75" customHeight="1" s="77"/>
    <row r="589" ht="15.75" customHeight="1" s="77"/>
    <row r="590" ht="15.75" customHeight="1" s="77"/>
    <row r="591" ht="15.75" customHeight="1" s="77"/>
    <row r="592" ht="15.75" customHeight="1" s="77"/>
    <row r="593" ht="15.75" customHeight="1" s="77"/>
    <row r="594" ht="15.75" customHeight="1" s="77"/>
    <row r="595" ht="15.75" customHeight="1" s="77"/>
    <row r="596" ht="15.75" customHeight="1" s="77"/>
    <row r="597" ht="15.75" customHeight="1" s="77"/>
    <row r="598" ht="15.75" customHeight="1" s="77"/>
    <row r="599" ht="15.75" customHeight="1" s="77"/>
    <row r="600" ht="15.75" customHeight="1" s="77"/>
    <row r="601" ht="15.75" customHeight="1" s="77"/>
    <row r="602" ht="15.75" customHeight="1" s="77"/>
    <row r="603" ht="15.75" customHeight="1" s="77"/>
    <row r="604" ht="15.75" customHeight="1" s="77"/>
    <row r="605" ht="15.75" customHeight="1" s="77"/>
    <row r="606" ht="15.75" customHeight="1" s="77"/>
    <row r="607" ht="15.75" customHeight="1" s="77"/>
    <row r="608" ht="15.75" customHeight="1" s="77"/>
    <row r="609" ht="15.75" customHeight="1" s="77"/>
    <row r="610" ht="15.75" customHeight="1" s="77"/>
    <row r="611" ht="15.75" customHeight="1" s="77"/>
    <row r="612" ht="15.75" customHeight="1" s="77"/>
    <row r="613" ht="15.75" customHeight="1" s="77"/>
    <row r="614" ht="15.75" customHeight="1" s="77"/>
    <row r="615" ht="15.75" customHeight="1" s="77"/>
    <row r="616" ht="15.75" customHeight="1" s="77"/>
    <row r="617" ht="15.75" customHeight="1" s="77"/>
    <row r="618" ht="15.75" customHeight="1" s="77"/>
    <row r="619" ht="15.75" customHeight="1" s="77"/>
    <row r="620" ht="15.75" customHeight="1" s="77"/>
    <row r="621" ht="15.75" customHeight="1" s="77"/>
    <row r="622" ht="15.75" customHeight="1" s="77"/>
    <row r="623" ht="15.75" customHeight="1" s="77"/>
    <row r="624" ht="15.75" customHeight="1" s="77"/>
    <row r="625" ht="15.75" customHeight="1" s="77"/>
    <row r="626" ht="15.75" customHeight="1" s="77"/>
    <row r="627" ht="15.75" customHeight="1" s="77"/>
    <row r="628" ht="15.75" customHeight="1" s="77"/>
    <row r="629" ht="15.75" customHeight="1" s="77"/>
    <row r="630" ht="15.75" customHeight="1" s="77"/>
    <row r="631" ht="15.75" customHeight="1" s="77"/>
    <row r="632" ht="15.75" customHeight="1" s="77"/>
    <row r="633" ht="15.75" customHeight="1" s="77"/>
    <row r="634" ht="15.75" customHeight="1" s="77"/>
    <row r="635" ht="15.75" customHeight="1" s="77"/>
    <row r="636" ht="15.75" customHeight="1" s="77"/>
    <row r="637" ht="15.75" customHeight="1" s="77"/>
    <row r="638" ht="15.75" customHeight="1" s="77"/>
    <row r="639" ht="15.75" customHeight="1" s="77"/>
    <row r="640" ht="15.75" customHeight="1" s="77"/>
    <row r="641" ht="15.75" customHeight="1" s="77"/>
    <row r="642" ht="15.75" customHeight="1" s="77"/>
    <row r="643" ht="15.75" customHeight="1" s="77"/>
    <row r="644" ht="15.75" customHeight="1" s="77"/>
    <row r="645" ht="15.75" customHeight="1" s="77"/>
    <row r="646" ht="15.75" customHeight="1" s="77"/>
    <row r="647" ht="15.75" customHeight="1" s="77"/>
    <row r="648" ht="15.75" customHeight="1" s="77"/>
    <row r="649" ht="15.75" customHeight="1" s="77"/>
    <row r="650" ht="15.75" customHeight="1" s="77"/>
    <row r="651" ht="15.75" customHeight="1" s="77"/>
    <row r="652" ht="15.75" customHeight="1" s="77"/>
    <row r="653" ht="15.75" customHeight="1" s="77"/>
    <row r="654" ht="15.75" customHeight="1" s="77"/>
    <row r="655" ht="15.75" customHeight="1" s="77"/>
    <row r="656" ht="15.75" customHeight="1" s="77"/>
    <row r="657" ht="15.75" customHeight="1" s="77"/>
    <row r="658" ht="15.75" customHeight="1" s="77"/>
    <row r="659" ht="15.75" customHeight="1" s="77"/>
    <row r="660" ht="15.75" customHeight="1" s="77"/>
    <row r="661" ht="15.75" customHeight="1" s="77"/>
    <row r="662" ht="15.75" customHeight="1" s="77"/>
    <row r="663" ht="15.75" customHeight="1" s="77"/>
    <row r="664" ht="15.75" customHeight="1" s="77"/>
    <row r="665" ht="15.75" customHeight="1" s="77"/>
    <row r="666" ht="15.75" customHeight="1" s="77"/>
    <row r="667" ht="15.75" customHeight="1" s="77"/>
    <row r="668" ht="15.75" customHeight="1" s="77"/>
    <row r="669" ht="15.75" customHeight="1" s="77"/>
    <row r="670" ht="15.75" customHeight="1" s="77"/>
    <row r="671" ht="15.75" customHeight="1" s="77"/>
    <row r="672" ht="15.75" customHeight="1" s="77"/>
    <row r="673" ht="15.75" customHeight="1" s="77"/>
    <row r="674" ht="15.75" customHeight="1" s="77"/>
    <row r="675" ht="15.75" customHeight="1" s="77"/>
    <row r="676" ht="15.75" customHeight="1" s="77"/>
    <row r="677" ht="15.75" customHeight="1" s="77"/>
    <row r="678" ht="15.75" customHeight="1" s="77"/>
    <row r="679" ht="15.75" customHeight="1" s="77"/>
    <row r="680" ht="15.75" customHeight="1" s="77"/>
    <row r="681" ht="15.75" customHeight="1" s="77"/>
    <row r="682" ht="15.75" customHeight="1" s="77"/>
    <row r="683" ht="15.75" customHeight="1" s="77"/>
    <row r="684" ht="15.75" customHeight="1" s="77"/>
    <row r="685" ht="15.75" customHeight="1" s="77"/>
    <row r="686" ht="15.75" customHeight="1" s="77"/>
    <row r="687" ht="15.75" customHeight="1" s="77"/>
    <row r="688" ht="15.75" customHeight="1" s="77"/>
    <row r="689" ht="15.75" customHeight="1" s="77"/>
    <row r="690" ht="15.75" customHeight="1" s="77"/>
    <row r="691" ht="15.75" customHeight="1" s="77"/>
    <row r="692" ht="15.75" customHeight="1" s="77"/>
    <row r="693" ht="15.75" customHeight="1" s="77"/>
    <row r="694" ht="15.75" customHeight="1" s="77"/>
    <row r="695" ht="15.75" customHeight="1" s="77"/>
    <row r="696" ht="15.75" customHeight="1" s="77"/>
    <row r="697" ht="15.75" customHeight="1" s="77"/>
    <row r="698" ht="15.75" customHeight="1" s="77"/>
    <row r="699" ht="15.75" customHeight="1" s="77"/>
    <row r="700" ht="15.75" customHeight="1" s="77"/>
    <row r="701" ht="15.75" customHeight="1" s="77"/>
    <row r="702" ht="15.75" customHeight="1" s="77"/>
    <row r="703" ht="15.75" customHeight="1" s="77"/>
    <row r="704" ht="15.75" customHeight="1" s="77"/>
    <row r="705" ht="15.75" customHeight="1" s="77"/>
    <row r="706" ht="15.75" customHeight="1" s="77"/>
    <row r="707" ht="15.75" customHeight="1" s="77"/>
    <row r="708" ht="15.75" customHeight="1" s="77"/>
    <row r="709" ht="15.75" customHeight="1" s="77"/>
    <row r="710" ht="15.75" customHeight="1" s="77"/>
    <row r="711" ht="15.75" customHeight="1" s="77"/>
    <row r="712" ht="15.75" customHeight="1" s="77"/>
    <row r="713" ht="15.75" customHeight="1" s="77"/>
    <row r="714" ht="15.75" customHeight="1" s="77"/>
    <row r="715" ht="15.75" customHeight="1" s="77"/>
    <row r="716" ht="15.75" customHeight="1" s="77"/>
    <row r="717" ht="15.75" customHeight="1" s="77"/>
    <row r="718" ht="15.75" customHeight="1" s="77"/>
    <row r="719" ht="15.75" customHeight="1" s="77"/>
    <row r="720" ht="15.75" customHeight="1" s="77"/>
    <row r="721" ht="15.75" customHeight="1" s="77"/>
    <row r="722" ht="15.75" customHeight="1" s="77"/>
    <row r="723" ht="15.75" customHeight="1" s="77"/>
    <row r="724" ht="15.75" customHeight="1" s="77"/>
    <row r="725" ht="15.75" customHeight="1" s="77"/>
    <row r="726" ht="15.75" customHeight="1" s="77"/>
    <row r="727" ht="15.75" customHeight="1" s="77"/>
    <row r="728" ht="15.75" customHeight="1" s="77"/>
    <row r="729" ht="15.75" customHeight="1" s="77"/>
    <row r="730" ht="15.75" customHeight="1" s="77"/>
    <row r="731" ht="15.75" customHeight="1" s="77"/>
    <row r="732" ht="15.75" customHeight="1" s="77"/>
    <row r="733" ht="15.75" customHeight="1" s="77"/>
    <row r="734" ht="15.75" customHeight="1" s="77"/>
    <row r="735" ht="15.75" customHeight="1" s="77"/>
    <row r="736" ht="15.75" customHeight="1" s="77"/>
    <row r="737" ht="15.75" customHeight="1" s="77"/>
    <row r="738" ht="15.75" customHeight="1" s="77"/>
    <row r="739" ht="15.75" customHeight="1" s="77"/>
    <row r="740" ht="15.75" customHeight="1" s="77"/>
    <row r="741" ht="15.75" customHeight="1" s="77"/>
    <row r="742" ht="15.75" customHeight="1" s="77"/>
    <row r="743" ht="15.75" customHeight="1" s="77"/>
    <row r="744" ht="15.75" customHeight="1" s="77"/>
    <row r="745" ht="15.75" customHeight="1" s="77"/>
    <row r="746" ht="15.75" customHeight="1" s="77"/>
    <row r="747" ht="15.75" customHeight="1" s="77"/>
    <row r="748" ht="15.75" customHeight="1" s="77"/>
    <row r="749" ht="15.75" customHeight="1" s="77"/>
    <row r="750" ht="15.75" customHeight="1" s="77"/>
    <row r="751" ht="15.75" customHeight="1" s="77"/>
    <row r="752" ht="15.75" customHeight="1" s="77"/>
    <row r="753" ht="15.75" customHeight="1" s="77"/>
    <row r="754" ht="15.75" customHeight="1" s="77"/>
    <row r="755" ht="15.75" customHeight="1" s="77"/>
    <row r="756" ht="15.75" customHeight="1" s="77"/>
    <row r="757" ht="15.75" customHeight="1" s="77"/>
    <row r="758" ht="15.75" customHeight="1" s="77"/>
    <row r="759" ht="15.75" customHeight="1" s="77"/>
    <row r="760" ht="15.75" customHeight="1" s="77"/>
    <row r="761" ht="15.75" customHeight="1" s="77"/>
    <row r="762" ht="15.75" customHeight="1" s="77"/>
    <row r="763" ht="15.75" customHeight="1" s="77"/>
    <row r="764" ht="15.75" customHeight="1" s="77"/>
    <row r="765" ht="15.75" customHeight="1" s="77"/>
    <row r="766" ht="15.75" customHeight="1" s="77"/>
    <row r="767" ht="15.75" customHeight="1" s="77"/>
    <row r="768" ht="15.75" customHeight="1" s="77"/>
    <row r="769" ht="15.75" customHeight="1" s="77"/>
    <row r="770" ht="15.75" customHeight="1" s="77"/>
    <row r="771" ht="15.75" customHeight="1" s="77"/>
    <row r="772" ht="15.75" customHeight="1" s="77"/>
    <row r="773" ht="15.75" customHeight="1" s="77"/>
    <row r="774" ht="15.75" customHeight="1" s="77"/>
    <row r="775" ht="15.75" customHeight="1" s="77"/>
    <row r="776" ht="15.75" customHeight="1" s="77"/>
    <row r="777" ht="15.75" customHeight="1" s="77"/>
    <row r="778" ht="15.75" customHeight="1" s="77"/>
    <row r="779" ht="15.75" customHeight="1" s="77"/>
    <row r="780" ht="15.75" customHeight="1" s="77"/>
    <row r="781" ht="15.75" customHeight="1" s="77"/>
    <row r="782" ht="15.75" customHeight="1" s="77"/>
    <row r="783" ht="15.75" customHeight="1" s="77"/>
    <row r="784" ht="15.75" customHeight="1" s="77"/>
    <row r="785" ht="15.75" customHeight="1" s="77"/>
    <row r="786" ht="15.75" customHeight="1" s="77"/>
    <row r="787" ht="15.75" customHeight="1" s="77"/>
    <row r="788" ht="15.75" customHeight="1" s="77"/>
    <row r="789" ht="15.75" customHeight="1" s="77"/>
    <row r="790" ht="15.75" customHeight="1" s="77"/>
    <row r="791" ht="15.75" customHeight="1" s="77"/>
    <row r="792" ht="15.75" customHeight="1" s="77"/>
    <row r="793" ht="15.75" customHeight="1" s="77"/>
    <row r="794" ht="15.75" customHeight="1" s="77"/>
    <row r="795" ht="15.75" customHeight="1" s="77"/>
    <row r="796" ht="15.75" customHeight="1" s="77"/>
    <row r="797" ht="15.75" customHeight="1" s="77"/>
    <row r="798" ht="15.75" customHeight="1" s="77"/>
    <row r="799" ht="15.75" customHeight="1" s="77"/>
    <row r="800" ht="15.75" customHeight="1" s="77"/>
    <row r="801" ht="15.75" customHeight="1" s="77"/>
    <row r="802" ht="15.75" customHeight="1" s="77"/>
    <row r="803" ht="15.75" customHeight="1" s="77"/>
    <row r="804" ht="15.75" customHeight="1" s="77"/>
    <row r="805" ht="15.75" customHeight="1" s="77"/>
    <row r="806" ht="15.75" customHeight="1" s="77"/>
    <row r="807" ht="15.75" customHeight="1" s="77"/>
    <row r="808" ht="15.75" customHeight="1" s="77"/>
    <row r="809" ht="15.75" customHeight="1" s="77"/>
    <row r="810" ht="15.75" customHeight="1" s="77"/>
    <row r="811" ht="15.75" customHeight="1" s="77"/>
    <row r="812" ht="15.75" customHeight="1" s="77"/>
    <row r="813" ht="15.75" customHeight="1" s="77"/>
    <row r="814" ht="15.75" customHeight="1" s="77"/>
    <row r="815" ht="15.75" customHeight="1" s="77"/>
    <row r="816" ht="15.75" customHeight="1" s="77"/>
    <row r="817" ht="15.75" customHeight="1" s="77"/>
    <row r="818" ht="15.75" customHeight="1" s="77"/>
    <row r="819" ht="15.75" customHeight="1" s="77"/>
    <row r="820" ht="15.75" customHeight="1" s="77"/>
    <row r="821" ht="15.75" customHeight="1" s="77"/>
    <row r="822" ht="15.75" customHeight="1" s="77"/>
    <row r="823" ht="15.75" customHeight="1" s="77"/>
    <row r="824" ht="15.75" customHeight="1" s="77"/>
    <row r="825" ht="15.75" customHeight="1" s="77"/>
    <row r="826" ht="15.75" customHeight="1" s="77"/>
    <row r="827" ht="15.75" customHeight="1" s="77"/>
    <row r="828" ht="15.75" customHeight="1" s="77"/>
    <row r="829" ht="15.75" customHeight="1" s="77"/>
    <row r="830" ht="15.75" customHeight="1" s="77"/>
    <row r="831" ht="15.75" customHeight="1" s="77"/>
    <row r="832" ht="15.75" customHeight="1" s="77"/>
    <row r="833" ht="15.75" customHeight="1" s="77"/>
    <row r="834" ht="15.75" customHeight="1" s="77"/>
    <row r="835" ht="15.75" customHeight="1" s="77"/>
    <row r="836" ht="15.75" customHeight="1" s="77"/>
    <row r="837" ht="15.75" customHeight="1" s="77"/>
    <row r="838" ht="15.75" customHeight="1" s="77"/>
    <row r="839" ht="15.75" customHeight="1" s="77"/>
    <row r="840" ht="15.75" customHeight="1" s="77"/>
    <row r="841" ht="15.75" customHeight="1" s="77"/>
    <row r="842" ht="15.75" customHeight="1" s="77"/>
    <row r="843" ht="15.75" customHeight="1" s="77"/>
    <row r="844" ht="15.75" customHeight="1" s="77"/>
    <row r="845" ht="15.75" customHeight="1" s="77"/>
    <row r="846" ht="15.75" customHeight="1" s="77"/>
    <row r="847" ht="15.75" customHeight="1" s="77"/>
    <row r="848" ht="15.75" customHeight="1" s="77"/>
    <row r="849" ht="15.75" customHeight="1" s="77"/>
    <row r="850" ht="15.75" customHeight="1" s="77"/>
    <row r="851" ht="15.75" customHeight="1" s="77"/>
    <row r="852" ht="15.75" customHeight="1" s="77"/>
    <row r="853" ht="15.75" customHeight="1" s="77"/>
    <row r="854" ht="15.75" customHeight="1" s="77"/>
    <row r="855" ht="15.75" customHeight="1" s="77"/>
    <row r="856" ht="15.75" customHeight="1" s="77"/>
    <row r="857" ht="15.75" customHeight="1" s="77"/>
    <row r="858" ht="15.75" customHeight="1" s="77"/>
    <row r="859" ht="15.75" customHeight="1" s="77"/>
    <row r="860" ht="15.75" customHeight="1" s="77"/>
    <row r="861" ht="15.75" customHeight="1" s="77"/>
    <row r="862" ht="15.75" customHeight="1" s="77"/>
    <row r="863" ht="15.75" customHeight="1" s="77"/>
    <row r="864" ht="15.75" customHeight="1" s="77"/>
    <row r="865" ht="15.75" customHeight="1" s="77"/>
    <row r="866" ht="15.75" customHeight="1" s="77"/>
    <row r="867" ht="15.75" customHeight="1" s="77"/>
    <row r="868" ht="15.75" customHeight="1" s="77"/>
    <row r="869" ht="15.75" customHeight="1" s="77"/>
    <row r="870" ht="15.75" customHeight="1" s="77"/>
    <row r="871" ht="15.75" customHeight="1" s="77"/>
    <row r="872" ht="15.75" customHeight="1" s="77"/>
    <row r="873" ht="15.75" customHeight="1" s="77"/>
    <row r="874" ht="15.75" customHeight="1" s="77"/>
    <row r="875" ht="15.75" customHeight="1" s="77"/>
    <row r="876" ht="15.75" customHeight="1" s="77"/>
    <row r="877" ht="15.75" customHeight="1" s="77"/>
    <row r="878" ht="15.75" customHeight="1" s="77"/>
    <row r="879" ht="15.75" customHeight="1" s="77"/>
    <row r="880" ht="15.75" customHeight="1" s="77"/>
    <row r="881" ht="15.75" customHeight="1" s="77"/>
    <row r="882" ht="15.75" customHeight="1" s="77"/>
    <row r="883" ht="15.75" customHeight="1" s="77"/>
    <row r="884" ht="15.75" customHeight="1" s="77"/>
    <row r="885" ht="15.75" customHeight="1" s="77"/>
    <row r="886" ht="15.75" customHeight="1" s="77"/>
    <row r="887" ht="15.75" customHeight="1" s="77"/>
    <row r="888" ht="15.75" customHeight="1" s="77"/>
    <row r="889" ht="15.75" customHeight="1" s="77"/>
    <row r="890" ht="15.75" customHeight="1" s="77"/>
    <row r="891" ht="15.75" customHeight="1" s="77"/>
    <row r="892" ht="15.75" customHeight="1" s="77"/>
    <row r="893" ht="15.75" customHeight="1" s="77"/>
    <row r="894" ht="15.75" customHeight="1" s="77"/>
    <row r="895" ht="15.75" customHeight="1" s="77"/>
    <row r="896" ht="15.75" customHeight="1" s="77"/>
    <row r="897" ht="15.75" customHeight="1" s="77"/>
    <row r="898" ht="15.75" customHeight="1" s="77"/>
    <row r="899" ht="15.75" customHeight="1" s="77"/>
    <row r="900" ht="15.75" customHeight="1" s="77"/>
    <row r="901" ht="15.75" customHeight="1" s="77"/>
    <row r="902" ht="15.75" customHeight="1" s="77"/>
    <row r="903" ht="15.75" customHeight="1" s="77"/>
    <row r="904" ht="15.75" customHeight="1" s="77"/>
    <row r="905" ht="15.75" customHeight="1" s="77"/>
    <row r="906" ht="15.75" customHeight="1" s="77"/>
    <row r="907" ht="15.75" customHeight="1" s="77"/>
    <row r="908" ht="15.75" customHeight="1" s="77"/>
    <row r="909" ht="15.75" customHeight="1" s="77"/>
    <row r="910" ht="15.75" customHeight="1" s="77"/>
    <row r="911" ht="15.75" customHeight="1" s="77"/>
    <row r="912" ht="15.75" customHeight="1" s="77"/>
    <row r="913" ht="15.75" customHeight="1" s="77"/>
    <row r="914" ht="15.75" customHeight="1" s="77"/>
    <row r="915" ht="15.75" customHeight="1" s="77"/>
    <row r="916" ht="15.75" customHeight="1" s="77"/>
    <row r="917" ht="15.75" customHeight="1" s="77"/>
    <row r="918" ht="15.75" customHeight="1" s="77"/>
    <row r="919" ht="15.75" customHeight="1" s="77"/>
    <row r="920" ht="15.75" customHeight="1" s="77"/>
    <row r="921" ht="15.75" customHeight="1" s="77"/>
    <row r="922" ht="15.75" customHeight="1" s="77"/>
    <row r="923" ht="15.75" customHeight="1" s="77"/>
    <row r="924" ht="15.75" customHeight="1" s="77"/>
    <row r="925" ht="15.75" customHeight="1" s="77"/>
    <row r="926" ht="15.75" customHeight="1" s="77"/>
    <row r="927" ht="15.75" customHeight="1" s="77"/>
    <row r="928" ht="15.75" customHeight="1" s="77"/>
    <row r="929" ht="15.75" customHeight="1" s="77"/>
    <row r="930" ht="15.75" customHeight="1" s="77"/>
    <row r="931" ht="15.75" customHeight="1" s="77"/>
    <row r="932" ht="15.75" customHeight="1" s="77"/>
    <row r="933" ht="15.75" customHeight="1" s="77"/>
    <row r="934" ht="15.75" customHeight="1" s="77"/>
    <row r="935" ht="15.75" customHeight="1" s="77"/>
    <row r="936" ht="15.75" customHeight="1" s="77"/>
    <row r="937" ht="15.75" customHeight="1" s="77"/>
    <row r="938" ht="15.75" customHeight="1" s="77"/>
    <row r="939" ht="15.75" customHeight="1" s="77"/>
    <row r="940" ht="15.75" customHeight="1" s="77"/>
    <row r="941" ht="15.75" customHeight="1" s="77"/>
    <row r="942" ht="15.75" customHeight="1" s="77"/>
    <row r="943" ht="15.75" customHeight="1" s="77"/>
    <row r="944" ht="15.75" customHeight="1" s="77"/>
    <row r="945" ht="15.75" customHeight="1" s="77"/>
    <row r="946" ht="15.75" customHeight="1" s="77"/>
    <row r="947" ht="15.75" customHeight="1" s="77"/>
    <row r="948" ht="15.75" customHeight="1" s="77"/>
    <row r="949" ht="15.75" customHeight="1" s="77"/>
    <row r="950" ht="15.75" customHeight="1" s="77"/>
    <row r="951" ht="15.75" customHeight="1" s="77"/>
    <row r="952" ht="15.75" customHeight="1" s="77"/>
    <row r="953" ht="15.75" customHeight="1" s="77"/>
    <row r="954" ht="15.75" customHeight="1" s="77"/>
    <row r="955" ht="15.75" customHeight="1" s="77"/>
    <row r="956" ht="15.75" customHeight="1" s="77"/>
    <row r="957" ht="15.75" customHeight="1" s="77"/>
    <row r="958" ht="15.75" customHeight="1" s="77"/>
    <row r="959" ht="15.75" customHeight="1" s="77"/>
    <row r="960" ht="15.75" customHeight="1" s="77"/>
    <row r="961" ht="15.75" customHeight="1" s="77"/>
    <row r="962" ht="15.75" customHeight="1" s="77"/>
    <row r="963" ht="15.75" customHeight="1" s="77"/>
    <row r="964" ht="15.75" customHeight="1" s="77"/>
    <row r="965" ht="15.75" customHeight="1" s="77"/>
    <row r="966" ht="15.75" customHeight="1" s="77"/>
    <row r="967" ht="15.75" customHeight="1" s="77"/>
    <row r="968" ht="15.75" customHeight="1" s="77"/>
    <row r="969" ht="15.75" customHeight="1" s="77"/>
    <row r="970" ht="15.75" customHeight="1" s="77"/>
    <row r="971" ht="15.75" customHeight="1" s="77"/>
    <row r="972" ht="15.75" customHeight="1" s="77"/>
    <row r="973" ht="15.75" customHeight="1" s="77"/>
    <row r="974" ht="15.75" customHeight="1" s="77"/>
    <row r="975" ht="15.75" customHeight="1" s="77"/>
    <row r="976" ht="15.75" customHeight="1" s="77"/>
    <row r="977" ht="15.75" customHeight="1" s="77"/>
    <row r="978" ht="15.75" customHeight="1" s="77"/>
    <row r="979" ht="15.75" customHeight="1" s="77"/>
    <row r="980" ht="15.75" customHeight="1" s="77"/>
    <row r="981" ht="15.75" customHeight="1" s="77"/>
    <row r="982" ht="15.75" customHeight="1" s="77"/>
    <row r="983" ht="15.75" customHeight="1" s="77"/>
    <row r="984" ht="15.75" customHeight="1" s="77"/>
    <row r="985" ht="15.75" customHeight="1" s="77"/>
    <row r="986" ht="15.75" customHeight="1" s="77"/>
    <row r="987" ht="15.75" customHeight="1" s="77"/>
    <row r="988" ht="15.75" customHeight="1" s="77"/>
    <row r="989" ht="15.75" customHeight="1" s="77"/>
    <row r="990" ht="15.75" customHeight="1" s="77"/>
    <row r="991" ht="15.75" customHeight="1" s="77"/>
    <row r="992" ht="15.75" customHeight="1" s="77"/>
    <row r="993" ht="15.75" customHeight="1" s="77"/>
    <row r="994" ht="15.75" customHeight="1" s="77"/>
    <row r="995" ht="15.75" customHeight="1" s="77"/>
    <row r="996" ht="15.75" customHeight="1" s="77"/>
    <row r="997" ht="15.75" customHeight="1" s="77"/>
    <row r="998" ht="15.75" customHeight="1" s="77"/>
    <row r="999" ht="15.75" customHeight="1" s="77"/>
    <row r="1000" ht="15.75" customHeight="1" s="77"/>
  </sheetData>
  <mergeCells count="6">
    <mergeCell ref="A29:E29"/>
    <mergeCell ref="A16:E16"/>
    <mergeCell ref="A2:E2"/>
    <mergeCell ref="A51:E51"/>
    <mergeCell ref="A1:E1"/>
    <mergeCell ref="A5:E5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51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77" min="1" max="1"/>
    <col width="16.43" customWidth="1" style="77" min="2" max="2"/>
    <col width="17.43" customWidth="1" style="77" min="3" max="3"/>
    <col width="10" customWidth="1" style="77" min="4" max="66"/>
  </cols>
  <sheetData>
    <row r="1" ht="30" customHeight="1" s="77">
      <c r="A1" s="78" t="inlineStr">
        <is>
          <t>5️⃣ HYPOTHÈSES DE CROISSANCE &amp; PROJECTIONS</t>
        </is>
      </c>
    </row>
    <row r="3">
      <c r="A3" s="80" t="inlineStr">
        <is>
          <t>💡 Définissez vos objectifs de croissance pour les 5 prochaines années. Soyez réaliste !</t>
        </is>
      </c>
    </row>
    <row r="5">
      <c r="A5" s="28" t="inlineStr">
        <is>
          <t>🎯 OBJECTIFS DE CHIFFRE D'AFFAIRES</t>
        </is>
      </c>
    </row>
    <row r="7">
      <c r="A7" s="28" t="inlineStr">
        <is>
          <t>Année</t>
        </is>
      </c>
      <c r="B7" s="28" t="inlineStr">
        <is>
          <t>Objectif CA (XOF)</t>
        </is>
      </c>
      <c r="C7" s="28" t="inlineStr">
        <is>
          <t>Croissance vs N-1</t>
        </is>
      </c>
      <c r="E7" s="16" t="inlineStr">
        <is>
          <t>Exemple GOTCHE CA</t>
        </is>
      </c>
      <c r="F7" s="16" t="inlineStr">
        <is>
          <t>Exemple Croissance</t>
        </is>
      </c>
    </row>
    <row r="8">
      <c r="A8" s="14" t="inlineStr">
        <is>
          <t>Année N+1 (2025)</t>
        </is>
      </c>
      <c r="B8" s="31" t="n">
        <v>280000000</v>
      </c>
      <c r="C8" s="75" t="inlineStr">
        <is>
          <t>+79%</t>
        </is>
      </c>
      <c r="E8" s="16" t="inlineStr">
        <is>
          <t>54 000 000</t>
        </is>
      </c>
      <c r="F8" s="16" t="inlineStr">
        <is>
          <t>+68.8%</t>
        </is>
      </c>
    </row>
    <row r="9">
      <c r="A9" s="14" t="inlineStr">
        <is>
          <t>Année N+2 (2026)</t>
        </is>
      </c>
      <c r="B9" s="31" t="n">
        <v>450000000</v>
      </c>
      <c r="C9" s="75" t="inlineStr">
        <is>
          <t>+61%</t>
        </is>
      </c>
      <c r="E9" s="16" t="inlineStr">
        <is>
          <t>85 000 000</t>
        </is>
      </c>
      <c r="F9" s="16" t="inlineStr">
        <is>
          <t>+57.4%</t>
        </is>
      </c>
    </row>
    <row r="10">
      <c r="A10" s="14" t="inlineStr">
        <is>
          <t>Année N+3 (2027)</t>
        </is>
      </c>
      <c r="B10" s="31" t="n">
        <v>680000000</v>
      </c>
      <c r="C10" s="75" t="inlineStr">
        <is>
          <t>+51%</t>
        </is>
      </c>
      <c r="E10" s="16" t="inlineStr">
        <is>
          <t>150 000 000</t>
        </is>
      </c>
      <c r="F10" s="16" t="inlineStr">
        <is>
          <t>+76.5%</t>
        </is>
      </c>
    </row>
    <row r="11">
      <c r="A11" s="14" t="inlineStr">
        <is>
          <t>Année N+4 (2028)</t>
        </is>
      </c>
      <c r="B11" s="31" t="n">
        <v>950000000</v>
      </c>
      <c r="C11" s="75" t="inlineStr">
        <is>
          <t>+40%</t>
        </is>
      </c>
      <c r="E11" s="16" t="inlineStr">
        <is>
          <t>250 000 000</t>
        </is>
      </c>
      <c r="F11" s="16" t="inlineStr">
        <is>
          <t>+66.7%</t>
        </is>
      </c>
    </row>
    <row r="12">
      <c r="A12" s="14" t="inlineStr">
        <is>
          <t>Année N+5 (2029)</t>
        </is>
      </c>
      <c r="B12" s="31" t="n">
        <v>1300000000</v>
      </c>
      <c r="C12" s="75" t="inlineStr">
        <is>
          <t>+37%</t>
        </is>
      </c>
      <c r="E12" s="16" t="inlineStr">
        <is>
          <t>500 000 000</t>
        </is>
      </c>
      <c r="F12" s="16" t="inlineStr">
        <is>
          <t>+100.0%</t>
        </is>
      </c>
    </row>
    <row r="15">
      <c r="A15" s="28" t="inlineStr">
        <is>
          <t>📊 HYPOTHÈSES GÉNÉRALES</t>
        </is>
      </c>
    </row>
    <row r="17">
      <c r="A17" s="14" t="inlineStr">
        <is>
          <t>Taux de marge brute cible</t>
        </is>
      </c>
      <c r="B17" s="35" t="inlineStr">
        <is>
          <t>60%</t>
        </is>
      </c>
      <c r="C17" s="76" t="n"/>
      <c r="E17" s="16" t="inlineStr">
        <is>
          <t>40%</t>
        </is>
      </c>
    </row>
    <row r="18">
      <c r="A18" s="14" t="inlineStr">
        <is>
          <t>Taux de marge opérationnelle cible</t>
        </is>
      </c>
      <c r="B18" s="35" t="inlineStr">
        <is>
          <t>20%</t>
        </is>
      </c>
      <c r="C18" s="76" t="n"/>
      <c r="E18" s="16" t="inlineStr">
        <is>
          <t>20%</t>
        </is>
      </c>
    </row>
    <row r="19">
      <c r="A19" s="14" t="inlineStr">
        <is>
          <t>Inflation annuelle prévue</t>
        </is>
      </c>
      <c r="B19" s="35" t="inlineStr">
        <is>
          <t>4%</t>
        </is>
      </c>
      <c r="C19" s="76" t="n"/>
      <c r="E19" s="16" t="inlineStr">
        <is>
          <t>3%</t>
        </is>
      </c>
    </row>
    <row r="20">
      <c r="A20" s="14" t="inlineStr">
        <is>
          <t>Augmentation prix moyen annuelle</t>
        </is>
      </c>
      <c r="B20" s="35" t="inlineStr">
        <is>
          <t>5%</t>
        </is>
      </c>
      <c r="C20" s="76" t="n"/>
      <c r="E20" s="16" t="inlineStr">
        <is>
          <t>5%</t>
        </is>
      </c>
    </row>
    <row r="21" ht="15.75" customHeight="1" s="77">
      <c r="A21" s="14" t="inlineStr">
        <is>
          <t>Croissance volumes annuelle</t>
        </is>
      </c>
      <c r="B21" s="35" t="inlineStr">
        <is>
          <t>40%</t>
        </is>
      </c>
      <c r="C21" s="76" t="n"/>
      <c r="E21" s="16" t="inlineStr">
        <is>
          <t>30%</t>
        </is>
      </c>
    </row>
    <row r="22" ht="15.75" customHeight="1" s="77">
      <c r="A22" s="14" t="inlineStr">
        <is>
          <t>Taux d'impôt sur les sociétés</t>
        </is>
      </c>
      <c r="B22" s="35" t="inlineStr">
        <is>
          <t>25%</t>
        </is>
      </c>
      <c r="C22" s="76" t="n"/>
      <c r="E22" s="16" t="inlineStr">
        <is>
          <t>25%</t>
        </is>
      </c>
    </row>
    <row r="23" ht="15.75" customHeight="1" s="77"/>
    <row r="24" ht="15.75" customHeight="1" s="77"/>
    <row r="25" ht="15.75" customHeight="1" s="77">
      <c r="A25" s="82" t="inlineStr">
        <is>
          <t>💵 REVENUS PRÉVISIONNELS - SAISIE MENSUELLE 60 MOIS</t>
        </is>
      </c>
    </row>
    <row r="26" ht="15.75" customHeight="1" s="77">
      <c r="A26" s="44" t="inlineStr">
        <is>
          <t>Saisie mensuelle sur 5 ans (60 mois) pour capturer les variations saisonnières et évolutions progressives</t>
        </is>
      </c>
    </row>
    <row r="27" ht="15.75" customHeight="1" s="77"/>
    <row r="28" ht="15.75" customHeight="1" s="77">
      <c r="B28" s="83" t="inlineStr">
        <is>
          <t>ANNÉE 1</t>
        </is>
      </c>
      <c r="C28" s="84" t="n"/>
      <c r="D28" s="84" t="n"/>
      <c r="E28" s="84" t="n"/>
      <c r="F28" s="84" t="n"/>
      <c r="G28" s="84" t="n"/>
      <c r="H28" s="84" t="n"/>
      <c r="I28" s="84" t="n"/>
      <c r="J28" s="84" t="n"/>
      <c r="K28" s="84" t="n"/>
      <c r="L28" s="84" t="n"/>
      <c r="M28" s="84" t="n"/>
      <c r="N28" s="85" t="n"/>
      <c r="O28" s="83" t="inlineStr">
        <is>
          <t>ANNÉE 2</t>
        </is>
      </c>
      <c r="P28" s="84" t="n"/>
      <c r="Q28" s="84" t="n"/>
      <c r="R28" s="84" t="n"/>
      <c r="S28" s="84" t="n"/>
      <c r="T28" s="84" t="n"/>
      <c r="U28" s="84" t="n"/>
      <c r="V28" s="84" t="n"/>
      <c r="W28" s="84" t="n"/>
      <c r="X28" s="84" t="n"/>
      <c r="Y28" s="84" t="n"/>
      <c r="Z28" s="84" t="n"/>
      <c r="AA28" s="85" t="n"/>
      <c r="AB28" s="83" t="inlineStr">
        <is>
          <t>ANNÉE 3</t>
        </is>
      </c>
      <c r="AC28" s="84" t="n"/>
      <c r="AD28" s="84" t="n"/>
      <c r="AE28" s="84" t="n"/>
      <c r="AF28" s="84" t="n"/>
      <c r="AG28" s="84" t="n"/>
      <c r="AH28" s="84" t="n"/>
      <c r="AI28" s="84" t="n"/>
      <c r="AJ28" s="84" t="n"/>
      <c r="AK28" s="84" t="n"/>
      <c r="AL28" s="84" t="n"/>
      <c r="AM28" s="84" t="n"/>
      <c r="AN28" s="85" t="n"/>
      <c r="AO28" s="83" t="inlineStr">
        <is>
          <t>ANNÉE 4</t>
        </is>
      </c>
      <c r="AP28" s="84" t="n"/>
      <c r="AQ28" s="84" t="n"/>
      <c r="AR28" s="84" t="n"/>
      <c r="AS28" s="84" t="n"/>
      <c r="AT28" s="84" t="n"/>
      <c r="AU28" s="84" t="n"/>
      <c r="AV28" s="84" t="n"/>
      <c r="AW28" s="84" t="n"/>
      <c r="AX28" s="84" t="n"/>
      <c r="AY28" s="84" t="n"/>
      <c r="AZ28" s="84" t="n"/>
      <c r="BA28" s="85" t="n"/>
      <c r="BB28" s="83" t="inlineStr">
        <is>
          <t>ANNÉE 5</t>
        </is>
      </c>
      <c r="BC28" s="84" t="n"/>
      <c r="BD28" s="84" t="n"/>
      <c r="BE28" s="84" t="n"/>
      <c r="BF28" s="84" t="n"/>
      <c r="BG28" s="84" t="n"/>
      <c r="BH28" s="84" t="n"/>
      <c r="BI28" s="84" t="n"/>
      <c r="BJ28" s="84" t="n"/>
      <c r="BK28" s="84" t="n"/>
      <c r="BL28" s="84" t="n"/>
      <c r="BM28" s="84" t="n"/>
      <c r="BN28" s="85" t="n"/>
    </row>
    <row r="29" ht="15.75" customHeight="1" s="77">
      <c r="A29" s="48" t="inlineStr">
        <is>
          <t>Poste</t>
        </is>
      </c>
      <c r="B29" s="49" t="inlineStr">
        <is>
          <t>Jan</t>
        </is>
      </c>
      <c r="C29" s="49" t="inlineStr">
        <is>
          <t>Fév</t>
        </is>
      </c>
      <c r="D29" s="49" t="inlineStr">
        <is>
          <t>Mar</t>
        </is>
      </c>
      <c r="E29" s="49" t="inlineStr">
        <is>
          <t>Avr</t>
        </is>
      </c>
      <c r="F29" s="49" t="inlineStr">
        <is>
          <t>Mai</t>
        </is>
      </c>
      <c r="G29" s="49" t="inlineStr">
        <is>
          <t>Jun</t>
        </is>
      </c>
      <c r="H29" s="49" t="inlineStr">
        <is>
          <t>Jul</t>
        </is>
      </c>
      <c r="I29" s="49" t="inlineStr">
        <is>
          <t>Aoû</t>
        </is>
      </c>
      <c r="J29" s="49" t="inlineStr">
        <is>
          <t>Sep</t>
        </is>
      </c>
      <c r="K29" s="49" t="inlineStr">
        <is>
          <t>Oct</t>
        </is>
      </c>
      <c r="L29" s="49" t="inlineStr">
        <is>
          <t>Nov</t>
        </is>
      </c>
      <c r="M29" s="49" t="inlineStr">
        <is>
          <t>Déc</t>
        </is>
      </c>
      <c r="N29" s="50" t="inlineStr">
        <is>
          <t>Total An</t>
        </is>
      </c>
      <c r="O29" s="49" t="inlineStr">
        <is>
          <t>Jan</t>
        </is>
      </c>
      <c r="P29" s="49" t="inlineStr">
        <is>
          <t>Fév</t>
        </is>
      </c>
      <c r="Q29" s="49" t="inlineStr">
        <is>
          <t>Mar</t>
        </is>
      </c>
      <c r="R29" s="49" t="inlineStr">
        <is>
          <t>Avr</t>
        </is>
      </c>
      <c r="S29" s="49" t="inlineStr">
        <is>
          <t>Mai</t>
        </is>
      </c>
      <c r="T29" s="49" t="inlineStr">
        <is>
          <t>Jun</t>
        </is>
      </c>
      <c r="U29" s="49" t="inlineStr">
        <is>
          <t>Jul</t>
        </is>
      </c>
      <c r="V29" s="49" t="inlineStr">
        <is>
          <t>Aoû</t>
        </is>
      </c>
      <c r="W29" s="49" t="inlineStr">
        <is>
          <t>Sep</t>
        </is>
      </c>
      <c r="X29" s="49" t="inlineStr">
        <is>
          <t>Oct</t>
        </is>
      </c>
      <c r="Y29" s="49" t="inlineStr">
        <is>
          <t>Nov</t>
        </is>
      </c>
      <c r="Z29" s="49" t="inlineStr">
        <is>
          <t>Déc</t>
        </is>
      </c>
      <c r="AA29" s="50" t="inlineStr">
        <is>
          <t>Total An</t>
        </is>
      </c>
      <c r="AB29" s="49" t="inlineStr">
        <is>
          <t>Jan</t>
        </is>
      </c>
      <c r="AC29" s="49" t="inlineStr">
        <is>
          <t>Fév</t>
        </is>
      </c>
      <c r="AD29" s="49" t="inlineStr">
        <is>
          <t>Mar</t>
        </is>
      </c>
      <c r="AE29" s="49" t="inlineStr">
        <is>
          <t>Avr</t>
        </is>
      </c>
      <c r="AF29" s="49" t="inlineStr">
        <is>
          <t>Mai</t>
        </is>
      </c>
      <c r="AG29" s="49" t="inlineStr">
        <is>
          <t>Jun</t>
        </is>
      </c>
      <c r="AH29" s="49" t="inlineStr">
        <is>
          <t>Jul</t>
        </is>
      </c>
      <c r="AI29" s="49" t="inlineStr">
        <is>
          <t>Aoû</t>
        </is>
      </c>
      <c r="AJ29" s="49" t="inlineStr">
        <is>
          <t>Sep</t>
        </is>
      </c>
      <c r="AK29" s="49" t="inlineStr">
        <is>
          <t>Oct</t>
        </is>
      </c>
      <c r="AL29" s="49" t="inlineStr">
        <is>
          <t>Nov</t>
        </is>
      </c>
      <c r="AM29" s="49" t="inlineStr">
        <is>
          <t>Déc</t>
        </is>
      </c>
      <c r="AN29" s="50" t="inlineStr">
        <is>
          <t>Total An</t>
        </is>
      </c>
      <c r="AO29" s="49" t="inlineStr">
        <is>
          <t>Jan</t>
        </is>
      </c>
      <c r="AP29" s="49" t="inlineStr">
        <is>
          <t>Fév</t>
        </is>
      </c>
      <c r="AQ29" s="49" t="inlineStr">
        <is>
          <t>Mar</t>
        </is>
      </c>
      <c r="AR29" s="49" t="inlineStr">
        <is>
          <t>Avr</t>
        </is>
      </c>
      <c r="AS29" s="49" t="inlineStr">
        <is>
          <t>Mai</t>
        </is>
      </c>
      <c r="AT29" s="49" t="inlineStr">
        <is>
          <t>Jun</t>
        </is>
      </c>
      <c r="AU29" s="49" t="inlineStr">
        <is>
          <t>Jul</t>
        </is>
      </c>
      <c r="AV29" s="49" t="inlineStr">
        <is>
          <t>Aoû</t>
        </is>
      </c>
      <c r="AW29" s="49" t="inlineStr">
        <is>
          <t>Sep</t>
        </is>
      </c>
      <c r="AX29" s="49" t="inlineStr">
        <is>
          <t>Oct</t>
        </is>
      </c>
      <c r="AY29" s="49" t="inlineStr">
        <is>
          <t>Nov</t>
        </is>
      </c>
      <c r="AZ29" s="49" t="inlineStr">
        <is>
          <t>Déc</t>
        </is>
      </c>
      <c r="BA29" s="50" t="inlineStr">
        <is>
          <t>Total An</t>
        </is>
      </c>
      <c r="BB29" s="49" t="inlineStr">
        <is>
          <t>Jan</t>
        </is>
      </c>
      <c r="BC29" s="49" t="inlineStr">
        <is>
          <t>Fév</t>
        </is>
      </c>
      <c r="BD29" s="49" t="inlineStr">
        <is>
          <t>Mar</t>
        </is>
      </c>
      <c r="BE29" s="49" t="inlineStr">
        <is>
          <t>Avr</t>
        </is>
      </c>
      <c r="BF29" s="49" t="inlineStr">
        <is>
          <t>Mai</t>
        </is>
      </c>
      <c r="BG29" s="49" t="inlineStr">
        <is>
          <t>Jun</t>
        </is>
      </c>
      <c r="BH29" s="49" t="inlineStr">
        <is>
          <t>Jul</t>
        </is>
      </c>
      <c r="BI29" s="49" t="inlineStr">
        <is>
          <t>Aoû</t>
        </is>
      </c>
      <c r="BJ29" s="49" t="inlineStr">
        <is>
          <t>Sep</t>
        </is>
      </c>
      <c r="BK29" s="49" t="inlineStr">
        <is>
          <t>Oct</t>
        </is>
      </c>
      <c r="BL29" s="49" t="inlineStr">
        <is>
          <t>Nov</t>
        </is>
      </c>
      <c r="BM29" s="49" t="inlineStr">
        <is>
          <t>Déc</t>
        </is>
      </c>
      <c r="BN29" s="50" t="inlineStr">
        <is>
          <t>Total An</t>
        </is>
      </c>
    </row>
    <row r="30" ht="15.75" customHeight="1" s="77">
      <c r="A30" s="51" t="inlineStr">
        <is>
          <t>CA Production Agricole</t>
        </is>
      </c>
      <c r="B30" s="52" t="n">
        <v>12600000</v>
      </c>
      <c r="C30" s="52" t="n">
        <v>13500000</v>
      </c>
      <c r="D30" s="52" t="n">
        <v>15300000</v>
      </c>
      <c r="E30" s="52" t="n">
        <v>17100000</v>
      </c>
      <c r="F30" s="52" t="n">
        <v>18000000</v>
      </c>
      <c r="G30" s="52" t="n">
        <v>18900000</v>
      </c>
      <c r="H30" s="52" t="n">
        <v>19800000</v>
      </c>
      <c r="I30" s="52" t="n">
        <v>20700000</v>
      </c>
      <c r="J30" s="52" t="n">
        <v>21600000</v>
      </c>
      <c r="K30" s="52" t="n">
        <v>19800000</v>
      </c>
      <c r="L30" s="52" t="n">
        <v>17100000</v>
      </c>
      <c r="M30" s="52" t="n">
        <v>14400000</v>
      </c>
      <c r="N30" s="53">
        <f>SUM(B30:M30)</f>
        <v/>
      </c>
      <c r="O30" s="52" t="n">
        <v>21000000</v>
      </c>
      <c r="P30" s="52" t="n">
        <v>22500000</v>
      </c>
      <c r="Q30" s="52" t="n">
        <v>25500000</v>
      </c>
      <c r="R30" s="52" t="n">
        <v>28500000</v>
      </c>
      <c r="S30" s="52" t="n">
        <v>30000000</v>
      </c>
      <c r="T30" s="52" t="n">
        <v>31500000</v>
      </c>
      <c r="U30" s="52" t="n">
        <v>33000000</v>
      </c>
      <c r="V30" s="52" t="n">
        <v>34500000</v>
      </c>
      <c r="W30" s="52" t="n">
        <v>36000000</v>
      </c>
      <c r="X30" s="52" t="n">
        <v>33000000</v>
      </c>
      <c r="Y30" s="52" t="n">
        <v>28500000</v>
      </c>
      <c r="Z30" s="52" t="n">
        <v>24000000</v>
      </c>
      <c r="AA30" s="53">
        <f>SUM(O30:Z30)</f>
        <v/>
      </c>
      <c r="AB30" s="52" t="n">
        <v>32199999</v>
      </c>
      <c r="AC30" s="52" t="n">
        <v>34500000</v>
      </c>
      <c r="AD30" s="52" t="n">
        <v>39100000</v>
      </c>
      <c r="AE30" s="52" t="n">
        <v>43700000</v>
      </c>
      <c r="AF30" s="52" t="n">
        <v>46000000</v>
      </c>
      <c r="AG30" s="52" t="n">
        <v>48300000</v>
      </c>
      <c r="AH30" s="52" t="n">
        <v>50600000</v>
      </c>
      <c r="AI30" s="52" t="n">
        <v>52899999</v>
      </c>
      <c r="AJ30" s="52" t="n">
        <v>55200000</v>
      </c>
      <c r="AK30" s="52" t="n">
        <v>50600000</v>
      </c>
      <c r="AL30" s="52" t="n">
        <v>43700000</v>
      </c>
      <c r="AM30" s="52" t="n">
        <v>36800000</v>
      </c>
      <c r="AN30" s="53">
        <f>SUM(AB30:AM30)</f>
        <v/>
      </c>
      <c r="AO30" s="52" t="n">
        <v>45500000</v>
      </c>
      <c r="AP30" s="52" t="n">
        <v>48750000</v>
      </c>
      <c r="AQ30" s="52" t="n">
        <v>55250000</v>
      </c>
      <c r="AR30" s="52" t="n">
        <v>61750000</v>
      </c>
      <c r="AS30" s="52" t="n">
        <v>65000000</v>
      </c>
      <c r="AT30" s="52" t="n">
        <v>68250000</v>
      </c>
      <c r="AU30" s="52" t="n">
        <v>71500000</v>
      </c>
      <c r="AV30" s="52" t="n">
        <v>74750000</v>
      </c>
      <c r="AW30" s="52" t="n">
        <v>78000000</v>
      </c>
      <c r="AX30" s="52" t="n">
        <v>71500000</v>
      </c>
      <c r="AY30" s="52" t="n">
        <v>61750000</v>
      </c>
      <c r="AZ30" s="52" t="n">
        <v>52000000</v>
      </c>
      <c r="BA30" s="53">
        <f>SUM(AO30:AZ30)</f>
        <v/>
      </c>
      <c r="BB30" s="52" t="n">
        <v>62999999</v>
      </c>
      <c r="BC30" s="52" t="n">
        <v>67500000</v>
      </c>
      <c r="BD30" s="52" t="n">
        <v>76500000</v>
      </c>
      <c r="BE30" s="52" t="n">
        <v>85500000</v>
      </c>
      <c r="BF30" s="52" t="n">
        <v>90000000</v>
      </c>
      <c r="BG30" s="52" t="n">
        <v>94500000</v>
      </c>
      <c r="BH30" s="52" t="n">
        <v>99000000</v>
      </c>
      <c r="BI30" s="52" t="n">
        <v>103499999</v>
      </c>
      <c r="BJ30" s="52" t="n">
        <v>108000000</v>
      </c>
      <c r="BK30" s="52" t="n">
        <v>99000000</v>
      </c>
      <c r="BL30" s="52" t="n">
        <v>85500000</v>
      </c>
      <c r="BM30" s="52" t="n">
        <v>72000000</v>
      </c>
      <c r="BN30" s="53">
        <f>SUM(BB30:BM30)</f>
        <v/>
      </c>
    </row>
    <row r="31" ht="15.75" customHeight="1" s="77">
      <c r="A31" s="51" t="inlineStr">
        <is>
          <t>CA Élevage</t>
        </is>
      </c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  <c r="L31" s="52" t="n"/>
      <c r="M31" s="52" t="n"/>
      <c r="N31" s="53">
        <f>SUM(B31:M31)</f>
        <v/>
      </c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3">
        <f>SUM(O31:Z31)</f>
        <v/>
      </c>
      <c r="AB31" s="52" t="n"/>
      <c r="AC31" s="52" t="n"/>
      <c r="AD31" s="52" t="n"/>
      <c r="AE31" s="52" t="n"/>
      <c r="AF31" s="52" t="n"/>
      <c r="AG31" s="52" t="n"/>
      <c r="AH31" s="52" t="n"/>
      <c r="AI31" s="52" t="n"/>
      <c r="AJ31" s="52" t="n"/>
      <c r="AK31" s="52" t="n"/>
      <c r="AL31" s="52" t="n"/>
      <c r="AM31" s="52" t="n"/>
      <c r="AN31" s="53">
        <f>SUM(AB31:AM31)</f>
        <v/>
      </c>
      <c r="AO31" s="52" t="n"/>
      <c r="AP31" s="52" t="n"/>
      <c r="AQ31" s="52" t="n"/>
      <c r="AR31" s="52" t="n"/>
      <c r="AS31" s="52" t="n"/>
      <c r="AT31" s="52" t="n"/>
      <c r="AU31" s="52" t="n"/>
      <c r="AV31" s="52" t="n"/>
      <c r="AW31" s="52" t="n"/>
      <c r="AX31" s="52" t="n"/>
      <c r="AY31" s="52" t="n"/>
      <c r="AZ31" s="52" t="n"/>
      <c r="BA31" s="53">
        <f>SUM(AO31:AZ31)</f>
        <v/>
      </c>
      <c r="BB31" s="52" t="n"/>
      <c r="BC31" s="52" t="n"/>
      <c r="BD31" s="52" t="n"/>
      <c r="BE31" s="52" t="n"/>
      <c r="BF31" s="52" t="n"/>
      <c r="BG31" s="52" t="n"/>
      <c r="BH31" s="52" t="n"/>
      <c r="BI31" s="52" t="n"/>
      <c r="BJ31" s="52" t="n"/>
      <c r="BK31" s="52" t="n"/>
      <c r="BL31" s="52" t="n"/>
      <c r="BM31" s="52" t="n"/>
      <c r="BN31" s="53">
        <f>SUM(BB31:BM31)</f>
        <v/>
      </c>
    </row>
    <row r="32" ht="15.75" customHeight="1" s="77">
      <c r="A32" s="51" t="inlineStr">
        <is>
          <t>CA Transformation</t>
        </is>
      </c>
      <c r="B32" s="52" t="n">
        <v>2800000</v>
      </c>
      <c r="C32" s="52" t="n">
        <v>3000000</v>
      </c>
      <c r="D32" s="52" t="n">
        <v>3400000</v>
      </c>
      <c r="E32" s="52" t="n">
        <v>3800000</v>
      </c>
      <c r="F32" s="52" t="n">
        <v>4000000</v>
      </c>
      <c r="G32" s="52" t="n">
        <v>4200000</v>
      </c>
      <c r="H32" s="52" t="n">
        <v>4400000</v>
      </c>
      <c r="I32" s="52" t="n">
        <v>4600000</v>
      </c>
      <c r="J32" s="52" t="n">
        <v>4800000</v>
      </c>
      <c r="K32" s="52" t="n">
        <v>4400000</v>
      </c>
      <c r="L32" s="52" t="n">
        <v>3800000</v>
      </c>
      <c r="M32" s="52" t="n">
        <v>3200000</v>
      </c>
      <c r="N32" s="53">
        <f>SUM(B32:M32)</f>
        <v/>
      </c>
      <c r="O32" s="52" t="n">
        <v>4900000</v>
      </c>
      <c r="P32" s="52" t="n">
        <v>5250000</v>
      </c>
      <c r="Q32" s="52" t="n">
        <v>5950000</v>
      </c>
      <c r="R32" s="52" t="n">
        <v>6650000</v>
      </c>
      <c r="S32" s="52" t="n">
        <v>7000000</v>
      </c>
      <c r="T32" s="52" t="n">
        <v>7350000</v>
      </c>
      <c r="U32" s="52" t="n">
        <v>7700000</v>
      </c>
      <c r="V32" s="52" t="n">
        <v>8049999</v>
      </c>
      <c r="W32" s="52" t="n">
        <v>8400000</v>
      </c>
      <c r="X32" s="52" t="n">
        <v>7700000</v>
      </c>
      <c r="Y32" s="52" t="n">
        <v>6650000</v>
      </c>
      <c r="Z32" s="52" t="n">
        <v>5600000</v>
      </c>
      <c r="AA32" s="53">
        <f>SUM(O32:Z32)</f>
        <v/>
      </c>
      <c r="AB32" s="52" t="n">
        <v>7000000</v>
      </c>
      <c r="AC32" s="52" t="n">
        <v>7500000</v>
      </c>
      <c r="AD32" s="52" t="n">
        <v>8500000</v>
      </c>
      <c r="AE32" s="52" t="n">
        <v>9500000</v>
      </c>
      <c r="AF32" s="52" t="n">
        <v>10000000</v>
      </c>
      <c r="AG32" s="52" t="n">
        <v>10500000</v>
      </c>
      <c r="AH32" s="52" t="n">
        <v>11000000</v>
      </c>
      <c r="AI32" s="52" t="n">
        <v>11500000</v>
      </c>
      <c r="AJ32" s="52" t="n">
        <v>12000000</v>
      </c>
      <c r="AK32" s="52" t="n">
        <v>11000000</v>
      </c>
      <c r="AL32" s="52" t="n">
        <v>9500000</v>
      </c>
      <c r="AM32" s="52" t="n">
        <v>8000000</v>
      </c>
      <c r="AN32" s="53">
        <f>SUM(AB32:AM32)</f>
        <v/>
      </c>
      <c r="AO32" s="52" t="n">
        <v>9800000</v>
      </c>
      <c r="AP32" s="52" t="n">
        <v>10500000</v>
      </c>
      <c r="AQ32" s="52" t="n">
        <v>11900000</v>
      </c>
      <c r="AR32" s="52" t="n">
        <v>13300000</v>
      </c>
      <c r="AS32" s="52" t="n">
        <v>14000000</v>
      </c>
      <c r="AT32" s="52" t="n">
        <v>14700000</v>
      </c>
      <c r="AU32" s="52" t="n">
        <v>15400000</v>
      </c>
      <c r="AV32" s="52" t="n">
        <v>16099999</v>
      </c>
      <c r="AW32" s="52" t="n">
        <v>16800000</v>
      </c>
      <c r="AX32" s="52" t="n">
        <v>15400000</v>
      </c>
      <c r="AY32" s="52" t="n">
        <v>13300000</v>
      </c>
      <c r="AZ32" s="52" t="n">
        <v>11200000</v>
      </c>
      <c r="BA32" s="53">
        <f>SUM(AO32:AZ32)</f>
        <v/>
      </c>
      <c r="BB32" s="52" t="n">
        <v>12600000</v>
      </c>
      <c r="BC32" s="52" t="n">
        <v>13500000</v>
      </c>
      <c r="BD32" s="52" t="n">
        <v>15300000</v>
      </c>
      <c r="BE32" s="52" t="n">
        <v>17100000</v>
      </c>
      <c r="BF32" s="52" t="n">
        <v>18000000</v>
      </c>
      <c r="BG32" s="52" t="n">
        <v>18900000</v>
      </c>
      <c r="BH32" s="52" t="n">
        <v>19800000</v>
      </c>
      <c r="BI32" s="52" t="n">
        <v>20700000</v>
      </c>
      <c r="BJ32" s="52" t="n">
        <v>21600000</v>
      </c>
      <c r="BK32" s="52" t="n">
        <v>19800000</v>
      </c>
      <c r="BL32" s="52" t="n">
        <v>17100000</v>
      </c>
      <c r="BM32" s="52" t="n">
        <v>14400000</v>
      </c>
      <c r="BN32" s="53">
        <f>SUM(BB32:BM32)</f>
        <v/>
      </c>
    </row>
    <row r="33" ht="15.75" customHeight="1" s="77">
      <c r="A33" s="51" t="inlineStr">
        <is>
          <t>CA Services</t>
        </is>
      </c>
      <c r="B33" s="52" t="n">
        <v>1419912</v>
      </c>
      <c r="C33" s="52" t="n">
        <v>1366429</v>
      </c>
      <c r="D33" s="52" t="n">
        <v>1664798</v>
      </c>
      <c r="E33" s="52" t="n">
        <v>814481</v>
      </c>
      <c r="F33" s="52" t="n">
        <v>1106516</v>
      </c>
      <c r="G33" s="52" t="n">
        <v>1045730</v>
      </c>
      <c r="H33" s="52" t="n">
        <v>1547205</v>
      </c>
      <c r="I33" s="52" t="n">
        <v>958710</v>
      </c>
      <c r="J33" s="52" t="n">
        <v>902600</v>
      </c>
      <c r="K33" s="52" t="n">
        <v>1150669</v>
      </c>
      <c r="L33" s="52" t="n">
        <v>1125006</v>
      </c>
      <c r="M33" s="52" t="n">
        <v>987403</v>
      </c>
      <c r="N33" s="53">
        <f>SUM(B33:M33)</f>
        <v/>
      </c>
      <c r="O33" s="52" t="n">
        <v>1439721</v>
      </c>
      <c r="P33" s="52" t="n">
        <v>2409502</v>
      </c>
      <c r="Q33" s="52" t="n">
        <v>1718108</v>
      </c>
      <c r="R33" s="52" t="n">
        <v>2320342</v>
      </c>
      <c r="S33" s="52" t="n">
        <v>1872468</v>
      </c>
      <c r="T33" s="52" t="n">
        <v>1152847</v>
      </c>
      <c r="U33" s="52" t="n">
        <v>2518966</v>
      </c>
      <c r="V33" s="52" t="n">
        <v>2283879</v>
      </c>
      <c r="W33" s="52" t="n">
        <v>2475354</v>
      </c>
      <c r="X33" s="52" t="n">
        <v>2413968</v>
      </c>
      <c r="Y33" s="52" t="n">
        <v>2302121</v>
      </c>
      <c r="Z33" s="52" t="n">
        <v>1319487</v>
      </c>
      <c r="AA33" s="53">
        <f>SUM(O33:Z33)</f>
        <v/>
      </c>
      <c r="AB33" s="52" t="n">
        <v>2471282</v>
      </c>
      <c r="AC33" s="52" t="n">
        <v>1927494</v>
      </c>
      <c r="AD33" s="52" t="n">
        <v>2302080</v>
      </c>
      <c r="AE33" s="52" t="n">
        <v>1617270</v>
      </c>
      <c r="AF33" s="52" t="n">
        <v>2257946</v>
      </c>
      <c r="AG33" s="52" t="n">
        <v>3470617</v>
      </c>
      <c r="AH33" s="52" t="n">
        <v>2030406</v>
      </c>
      <c r="AI33" s="52" t="n">
        <v>3068141</v>
      </c>
      <c r="AJ33" s="52" t="n">
        <v>2410016</v>
      </c>
      <c r="AK33" s="52" t="n">
        <v>2346014</v>
      </c>
      <c r="AL33" s="52" t="n">
        <v>3414635</v>
      </c>
      <c r="AM33" s="52" t="n">
        <v>3490845</v>
      </c>
      <c r="AN33" s="53">
        <f>SUM(AB33:AM33)</f>
        <v/>
      </c>
      <c r="AO33" s="52" t="n">
        <v>3656151</v>
      </c>
      <c r="AP33" s="52" t="n">
        <v>4111543</v>
      </c>
      <c r="AQ33" s="52" t="n">
        <v>2533431</v>
      </c>
      <c r="AR33" s="52" t="n">
        <v>2930781</v>
      </c>
      <c r="AS33" s="52" t="n">
        <v>4812386</v>
      </c>
      <c r="AT33" s="52" t="n">
        <v>3721704</v>
      </c>
      <c r="AU33" s="52" t="n">
        <v>3618146</v>
      </c>
      <c r="AV33" s="52" t="n">
        <v>4194331</v>
      </c>
      <c r="AW33" s="52" t="n">
        <v>2260062</v>
      </c>
      <c r="AX33" s="52" t="n">
        <v>3735697</v>
      </c>
      <c r="AY33" s="52" t="n">
        <v>3507981</v>
      </c>
      <c r="AZ33" s="52" t="n">
        <v>4487615</v>
      </c>
      <c r="BA33" s="53">
        <f>SUM(AO33:AZ33)</f>
        <v/>
      </c>
      <c r="BB33" s="52" t="n">
        <v>3629730</v>
      </c>
      <c r="BC33" s="52" t="n">
        <v>6843115</v>
      </c>
      <c r="BD33" s="52" t="n">
        <v>3320445</v>
      </c>
      <c r="BE33" s="52" t="n">
        <v>3743299</v>
      </c>
      <c r="BF33" s="52" t="n">
        <v>5380140</v>
      </c>
      <c r="BG33" s="52" t="n">
        <v>5700850</v>
      </c>
      <c r="BH33" s="52" t="n">
        <v>3940815</v>
      </c>
      <c r="BI33" s="52" t="n">
        <v>3479546</v>
      </c>
      <c r="BJ33" s="52" t="n">
        <v>6561149</v>
      </c>
      <c r="BK33" s="52" t="n">
        <v>3984861</v>
      </c>
      <c r="BL33" s="52" t="n">
        <v>5378076</v>
      </c>
      <c r="BM33" s="52" t="n">
        <v>5477526</v>
      </c>
      <c r="BN33" s="53">
        <f>SUM(BB33:BM33)</f>
        <v/>
      </c>
    </row>
    <row r="34" ht="15.75" customHeight="1" s="77">
      <c r="A34" s="51" t="inlineStr">
        <is>
          <t>Autres Revenus</t>
        </is>
      </c>
      <c r="B34" s="52" t="n"/>
      <c r="C34" s="52" t="n"/>
      <c r="D34" s="52" t="n"/>
      <c r="E34" s="52" t="n"/>
      <c r="F34" s="52" t="n"/>
      <c r="G34" s="52" t="n"/>
      <c r="H34" s="52" t="n"/>
      <c r="I34" s="52" t="n"/>
      <c r="J34" s="52" t="n"/>
      <c r="K34" s="52" t="n"/>
      <c r="L34" s="52" t="n"/>
      <c r="M34" s="52" t="n"/>
      <c r="N34" s="53">
        <f>SUM(B34:M34)</f>
        <v/>
      </c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3">
        <f>SUM(O34:Z34)</f>
        <v/>
      </c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  <c r="AL34" s="52" t="n"/>
      <c r="AM34" s="52" t="n"/>
      <c r="AN34" s="53">
        <f>SUM(AB34:AM34)</f>
        <v/>
      </c>
      <c r="AO34" s="52" t="n"/>
      <c r="AP34" s="52" t="n"/>
      <c r="AQ34" s="52" t="n"/>
      <c r="AR34" s="52" t="n"/>
      <c r="AS34" s="52" t="n"/>
      <c r="AT34" s="52" t="n"/>
      <c r="AU34" s="52" t="n"/>
      <c r="AV34" s="52" t="n"/>
      <c r="AW34" s="52" t="n"/>
      <c r="AX34" s="52" t="n"/>
      <c r="AY34" s="52" t="n"/>
      <c r="AZ34" s="52" t="n"/>
      <c r="BA34" s="53">
        <f>SUM(AO34:AZ34)</f>
        <v/>
      </c>
      <c r="BB34" s="52" t="n"/>
      <c r="BC34" s="52" t="n"/>
      <c r="BD34" s="52" t="n"/>
      <c r="BE34" s="52" t="n"/>
      <c r="BF34" s="52" t="n"/>
      <c r="BG34" s="52" t="n"/>
      <c r="BH34" s="52" t="n"/>
      <c r="BI34" s="52" t="n"/>
      <c r="BJ34" s="52" t="n"/>
      <c r="BK34" s="52" t="n"/>
      <c r="BL34" s="52" t="n"/>
      <c r="BM34" s="52" t="n"/>
      <c r="BN34" s="53">
        <f>SUM(BB34:BM34)</f>
        <v/>
      </c>
    </row>
    <row r="35" ht="15.75" customHeight="1" s="77">
      <c r="A35" s="54" t="inlineStr">
        <is>
          <t>TOTAL</t>
        </is>
      </c>
      <c r="B35" s="53">
        <f>SUM(B30:B34)</f>
        <v/>
      </c>
      <c r="C35" s="53">
        <f>SUM(C30:C34)</f>
        <v/>
      </c>
      <c r="D35" s="53">
        <f>SUM(D30:D34)</f>
        <v/>
      </c>
      <c r="E35" s="53">
        <f>SUM(E30:E34)</f>
        <v/>
      </c>
      <c r="F35" s="53">
        <f>SUM(F30:F34)</f>
        <v/>
      </c>
      <c r="G35" s="53">
        <f>SUM(G30:G34)</f>
        <v/>
      </c>
      <c r="H35" s="53">
        <f>SUM(H30:H34)</f>
        <v/>
      </c>
      <c r="I35" s="53">
        <f>SUM(I30:I34)</f>
        <v/>
      </c>
      <c r="J35" s="53">
        <f>SUM(J30:J34)</f>
        <v/>
      </c>
      <c r="K35" s="53">
        <f>SUM(K30:K34)</f>
        <v/>
      </c>
      <c r="L35" s="53">
        <f>SUM(L30:L34)</f>
        <v/>
      </c>
      <c r="M35" s="53">
        <f>SUM(M30:M34)</f>
        <v/>
      </c>
      <c r="N35" s="55">
        <f>SUM(B35:M35)</f>
        <v/>
      </c>
      <c r="O35" s="53">
        <f>SUM(O30:O34)</f>
        <v/>
      </c>
      <c r="P35" s="53">
        <f>SUM(P30:P34)</f>
        <v/>
      </c>
      <c r="Q35" s="53">
        <f>SUM(Q30:Q34)</f>
        <v/>
      </c>
      <c r="R35" s="53">
        <f>SUM(R30:R34)</f>
        <v/>
      </c>
      <c r="S35" s="53">
        <f>SUM(S30:S34)</f>
        <v/>
      </c>
      <c r="T35" s="53">
        <f>SUM(T30:T34)</f>
        <v/>
      </c>
      <c r="U35" s="53">
        <f>SUM(U30:U34)</f>
        <v/>
      </c>
      <c r="V35" s="53">
        <f>SUM(V30:V34)</f>
        <v/>
      </c>
      <c r="W35" s="53">
        <f>SUM(W30:W34)</f>
        <v/>
      </c>
      <c r="X35" s="53">
        <f>SUM(X30:X34)</f>
        <v/>
      </c>
      <c r="Y35" s="53">
        <f>SUM(Y30:Y34)</f>
        <v/>
      </c>
      <c r="Z35" s="53">
        <f>SUM(Z30:Z34)</f>
        <v/>
      </c>
      <c r="AA35" s="55">
        <f>SUM(O35:Z35)</f>
        <v/>
      </c>
      <c r="AB35" s="53">
        <f>SUM(AB30:AB34)</f>
        <v/>
      </c>
      <c r="AC35" s="53">
        <f>SUM(AC30:AC34)</f>
        <v/>
      </c>
      <c r="AD35" s="53">
        <f>SUM(AD30:AD34)</f>
        <v/>
      </c>
      <c r="AE35" s="53">
        <f>SUM(AE30:AE34)</f>
        <v/>
      </c>
      <c r="AF35" s="53">
        <f>SUM(AF30:AF34)</f>
        <v/>
      </c>
      <c r="AG35" s="53">
        <f>SUM(AG30:AG34)</f>
        <v/>
      </c>
      <c r="AH35" s="53">
        <f>SUM(AH30:AH34)</f>
        <v/>
      </c>
      <c r="AI35" s="53">
        <f>SUM(AI30:AI34)</f>
        <v/>
      </c>
      <c r="AJ35" s="53">
        <f>SUM(AJ30:AJ34)</f>
        <v/>
      </c>
      <c r="AK35" s="53">
        <f>SUM(AK30:AK34)</f>
        <v/>
      </c>
      <c r="AL35" s="53">
        <f>SUM(AL30:AL34)</f>
        <v/>
      </c>
      <c r="AM35" s="53">
        <f>SUM(AM30:AM34)</f>
        <v/>
      </c>
      <c r="AN35" s="55">
        <f>SUM(AB35:AM35)</f>
        <v/>
      </c>
      <c r="AO35" s="53">
        <f>SUM(AO30:AO34)</f>
        <v/>
      </c>
      <c r="AP35" s="53">
        <f>SUM(AP30:AP34)</f>
        <v/>
      </c>
      <c r="AQ35" s="53">
        <f>SUM(AQ30:AQ34)</f>
        <v/>
      </c>
      <c r="AR35" s="53">
        <f>SUM(AR30:AR34)</f>
        <v/>
      </c>
      <c r="AS35" s="53">
        <f>SUM(AS30:AS34)</f>
        <v/>
      </c>
      <c r="AT35" s="53">
        <f>SUM(AT30:AT34)</f>
        <v/>
      </c>
      <c r="AU35" s="53">
        <f>SUM(AU30:AU34)</f>
        <v/>
      </c>
      <c r="AV35" s="53">
        <f>SUM(AV30:AV34)</f>
        <v/>
      </c>
      <c r="AW35" s="53">
        <f>SUM(AW30:AW34)</f>
        <v/>
      </c>
      <c r="AX35" s="53">
        <f>SUM(AX30:AX34)</f>
        <v/>
      </c>
      <c r="AY35" s="53">
        <f>SUM(AY30:AY34)</f>
        <v/>
      </c>
      <c r="AZ35" s="53">
        <f>SUM(AZ30:AZ34)</f>
        <v/>
      </c>
      <c r="BA35" s="55">
        <f>SUM(AO35:AZ35)</f>
        <v/>
      </c>
      <c r="BB35" s="53">
        <f>SUM(BB30:BB34)</f>
        <v/>
      </c>
      <c r="BC35" s="53">
        <f>SUM(BC30:BC34)</f>
        <v/>
      </c>
      <c r="BD35" s="53">
        <f>SUM(BD30:BD34)</f>
        <v/>
      </c>
      <c r="BE35" s="53">
        <f>SUM(BE30:BE34)</f>
        <v/>
      </c>
      <c r="BF35" s="53">
        <f>SUM(BF30:BF34)</f>
        <v/>
      </c>
      <c r="BG35" s="53">
        <f>SUM(BG30:BG34)</f>
        <v/>
      </c>
      <c r="BH35" s="53">
        <f>SUM(BH30:BH34)</f>
        <v/>
      </c>
      <c r="BI35" s="53">
        <f>SUM(BI30:BI34)</f>
        <v/>
      </c>
      <c r="BJ35" s="53">
        <f>SUM(BJ30:BJ34)</f>
        <v/>
      </c>
      <c r="BK35" s="53">
        <f>SUM(BK30:BK34)</f>
        <v/>
      </c>
      <c r="BL35" s="53">
        <f>SUM(BL30:BL34)</f>
        <v/>
      </c>
      <c r="BM35" s="53">
        <f>SUM(BM30:BM34)</f>
        <v/>
      </c>
      <c r="BN35" s="55">
        <f>SUM(BB35:BM35)</f>
        <v/>
      </c>
    </row>
    <row r="36" ht="15.75" customHeight="1" s="77"/>
    <row r="37" ht="15.75" customHeight="1" s="77">
      <c r="A37" s="86" t="inlineStr">
        <is>
          <t>💡 Conseil : Saisissez les montants mois par mois pour refléter les variations saisonnières. Les totaux se calculent automatiquement.</t>
        </is>
      </c>
    </row>
    <row r="38" ht="15.75" customHeight="1" s="77"/>
    <row r="39" ht="15.75" customHeight="1" s="77">
      <c r="A39" s="82" t="inlineStr">
        <is>
          <t>📊 INDICATEURS DE CROISSANCE - SAISIE MENSUELLE 60 MOIS</t>
        </is>
      </c>
    </row>
    <row r="40" ht="15.75" customHeight="1" s="77">
      <c r="A40" s="44" t="inlineStr">
        <is>
          <t>Saisie mensuelle sur 5 ans (60 mois) pour capturer les variations saisonnières et évolutions progressives</t>
        </is>
      </c>
    </row>
    <row r="41" ht="15.75" customHeight="1" s="77"/>
    <row r="42" ht="15.75" customHeight="1" s="77">
      <c r="B42" s="83" t="inlineStr">
        <is>
          <t>ANNÉE 1</t>
        </is>
      </c>
      <c r="C42" s="84" t="n"/>
      <c r="D42" s="84" t="n"/>
      <c r="E42" s="84" t="n"/>
      <c r="F42" s="84" t="n"/>
      <c r="G42" s="84" t="n"/>
      <c r="H42" s="84" t="n"/>
      <c r="I42" s="84" t="n"/>
      <c r="J42" s="84" t="n"/>
      <c r="K42" s="84" t="n"/>
      <c r="L42" s="84" t="n"/>
      <c r="M42" s="84" t="n"/>
      <c r="N42" s="85" t="n"/>
      <c r="O42" s="83" t="inlineStr">
        <is>
          <t>ANNÉE 2</t>
        </is>
      </c>
      <c r="P42" s="84" t="n"/>
      <c r="Q42" s="84" t="n"/>
      <c r="R42" s="84" t="n"/>
      <c r="S42" s="84" t="n"/>
      <c r="T42" s="84" t="n"/>
      <c r="U42" s="84" t="n"/>
      <c r="V42" s="84" t="n"/>
      <c r="W42" s="84" t="n"/>
      <c r="X42" s="84" t="n"/>
      <c r="Y42" s="84" t="n"/>
      <c r="Z42" s="84" t="n"/>
      <c r="AA42" s="85" t="n"/>
      <c r="AB42" s="83" t="inlineStr">
        <is>
          <t>ANNÉE 3</t>
        </is>
      </c>
      <c r="AC42" s="84" t="n"/>
      <c r="AD42" s="84" t="n"/>
      <c r="AE42" s="84" t="n"/>
      <c r="AF42" s="84" t="n"/>
      <c r="AG42" s="84" t="n"/>
      <c r="AH42" s="84" t="n"/>
      <c r="AI42" s="84" t="n"/>
      <c r="AJ42" s="84" t="n"/>
      <c r="AK42" s="84" t="n"/>
      <c r="AL42" s="84" t="n"/>
      <c r="AM42" s="84" t="n"/>
      <c r="AN42" s="85" t="n"/>
      <c r="AO42" s="83" t="inlineStr">
        <is>
          <t>ANNÉE 4</t>
        </is>
      </c>
      <c r="AP42" s="84" t="n"/>
      <c r="AQ42" s="84" t="n"/>
      <c r="AR42" s="84" t="n"/>
      <c r="AS42" s="84" t="n"/>
      <c r="AT42" s="84" t="n"/>
      <c r="AU42" s="84" t="n"/>
      <c r="AV42" s="84" t="n"/>
      <c r="AW42" s="84" t="n"/>
      <c r="AX42" s="84" t="n"/>
      <c r="AY42" s="84" t="n"/>
      <c r="AZ42" s="84" t="n"/>
      <c r="BA42" s="85" t="n"/>
      <c r="BB42" s="83" t="inlineStr">
        <is>
          <t>ANNÉE 5</t>
        </is>
      </c>
      <c r="BC42" s="84" t="n"/>
      <c r="BD42" s="84" t="n"/>
      <c r="BE42" s="84" t="n"/>
      <c r="BF42" s="84" t="n"/>
      <c r="BG42" s="84" t="n"/>
      <c r="BH42" s="84" t="n"/>
      <c r="BI42" s="84" t="n"/>
      <c r="BJ42" s="84" t="n"/>
      <c r="BK42" s="84" t="n"/>
      <c r="BL42" s="84" t="n"/>
      <c r="BM42" s="84" t="n"/>
      <c r="BN42" s="85" t="n"/>
    </row>
    <row r="43" ht="15.75" customHeight="1" s="77">
      <c r="A43" s="48" t="inlineStr">
        <is>
          <t>Poste</t>
        </is>
      </c>
      <c r="B43" s="49" t="inlineStr">
        <is>
          <t>Jan</t>
        </is>
      </c>
      <c r="C43" s="49" t="inlineStr">
        <is>
          <t>Fév</t>
        </is>
      </c>
      <c r="D43" s="49" t="inlineStr">
        <is>
          <t>Mar</t>
        </is>
      </c>
      <c r="E43" s="49" t="inlineStr">
        <is>
          <t>Avr</t>
        </is>
      </c>
      <c r="F43" s="49" t="inlineStr">
        <is>
          <t>Mai</t>
        </is>
      </c>
      <c r="G43" s="49" t="inlineStr">
        <is>
          <t>Jun</t>
        </is>
      </c>
      <c r="H43" s="49" t="inlineStr">
        <is>
          <t>Jul</t>
        </is>
      </c>
      <c r="I43" s="49" t="inlineStr">
        <is>
          <t>Aoû</t>
        </is>
      </c>
      <c r="J43" s="49" t="inlineStr">
        <is>
          <t>Sep</t>
        </is>
      </c>
      <c r="K43" s="49" t="inlineStr">
        <is>
          <t>Oct</t>
        </is>
      </c>
      <c r="L43" s="49" t="inlineStr">
        <is>
          <t>Nov</t>
        </is>
      </c>
      <c r="M43" s="49" t="inlineStr">
        <is>
          <t>Déc</t>
        </is>
      </c>
      <c r="N43" s="50" t="inlineStr">
        <is>
          <t>Total An</t>
        </is>
      </c>
      <c r="O43" s="49" t="inlineStr">
        <is>
          <t>Jan</t>
        </is>
      </c>
      <c r="P43" s="49" t="inlineStr">
        <is>
          <t>Fév</t>
        </is>
      </c>
      <c r="Q43" s="49" t="inlineStr">
        <is>
          <t>Mar</t>
        </is>
      </c>
      <c r="R43" s="49" t="inlineStr">
        <is>
          <t>Avr</t>
        </is>
      </c>
      <c r="S43" s="49" t="inlineStr">
        <is>
          <t>Mai</t>
        </is>
      </c>
      <c r="T43" s="49" t="inlineStr">
        <is>
          <t>Jun</t>
        </is>
      </c>
      <c r="U43" s="49" t="inlineStr">
        <is>
          <t>Jul</t>
        </is>
      </c>
      <c r="V43" s="49" t="inlineStr">
        <is>
          <t>Aoû</t>
        </is>
      </c>
      <c r="W43" s="49" t="inlineStr">
        <is>
          <t>Sep</t>
        </is>
      </c>
      <c r="X43" s="49" t="inlineStr">
        <is>
          <t>Oct</t>
        </is>
      </c>
      <c r="Y43" s="49" t="inlineStr">
        <is>
          <t>Nov</t>
        </is>
      </c>
      <c r="Z43" s="49" t="inlineStr">
        <is>
          <t>Déc</t>
        </is>
      </c>
      <c r="AA43" s="50" t="inlineStr">
        <is>
          <t>Total An</t>
        </is>
      </c>
      <c r="AB43" s="49" t="inlineStr">
        <is>
          <t>Jan</t>
        </is>
      </c>
      <c r="AC43" s="49" t="inlineStr">
        <is>
          <t>Fév</t>
        </is>
      </c>
      <c r="AD43" s="49" t="inlineStr">
        <is>
          <t>Mar</t>
        </is>
      </c>
      <c r="AE43" s="49" t="inlineStr">
        <is>
          <t>Avr</t>
        </is>
      </c>
      <c r="AF43" s="49" t="inlineStr">
        <is>
          <t>Mai</t>
        </is>
      </c>
      <c r="AG43" s="49" t="inlineStr">
        <is>
          <t>Jun</t>
        </is>
      </c>
      <c r="AH43" s="49" t="inlineStr">
        <is>
          <t>Jul</t>
        </is>
      </c>
      <c r="AI43" s="49" t="inlineStr">
        <is>
          <t>Aoû</t>
        </is>
      </c>
      <c r="AJ43" s="49" t="inlineStr">
        <is>
          <t>Sep</t>
        </is>
      </c>
      <c r="AK43" s="49" t="inlineStr">
        <is>
          <t>Oct</t>
        </is>
      </c>
      <c r="AL43" s="49" t="inlineStr">
        <is>
          <t>Nov</t>
        </is>
      </c>
      <c r="AM43" s="49" t="inlineStr">
        <is>
          <t>Déc</t>
        </is>
      </c>
      <c r="AN43" s="50" t="inlineStr">
        <is>
          <t>Total An</t>
        </is>
      </c>
      <c r="AO43" s="49" t="inlineStr">
        <is>
          <t>Jan</t>
        </is>
      </c>
      <c r="AP43" s="49" t="inlineStr">
        <is>
          <t>Fév</t>
        </is>
      </c>
      <c r="AQ43" s="49" t="inlineStr">
        <is>
          <t>Mar</t>
        </is>
      </c>
      <c r="AR43" s="49" t="inlineStr">
        <is>
          <t>Avr</t>
        </is>
      </c>
      <c r="AS43" s="49" t="inlineStr">
        <is>
          <t>Mai</t>
        </is>
      </c>
      <c r="AT43" s="49" t="inlineStr">
        <is>
          <t>Jun</t>
        </is>
      </c>
      <c r="AU43" s="49" t="inlineStr">
        <is>
          <t>Jul</t>
        </is>
      </c>
      <c r="AV43" s="49" t="inlineStr">
        <is>
          <t>Aoû</t>
        </is>
      </c>
      <c r="AW43" s="49" t="inlineStr">
        <is>
          <t>Sep</t>
        </is>
      </c>
      <c r="AX43" s="49" t="inlineStr">
        <is>
          <t>Oct</t>
        </is>
      </c>
      <c r="AY43" s="49" t="inlineStr">
        <is>
          <t>Nov</t>
        </is>
      </c>
      <c r="AZ43" s="49" t="inlineStr">
        <is>
          <t>Déc</t>
        </is>
      </c>
      <c r="BA43" s="50" t="inlineStr">
        <is>
          <t>Total An</t>
        </is>
      </c>
      <c r="BB43" s="49" t="inlineStr">
        <is>
          <t>Jan</t>
        </is>
      </c>
      <c r="BC43" s="49" t="inlineStr">
        <is>
          <t>Fév</t>
        </is>
      </c>
      <c r="BD43" s="49" t="inlineStr">
        <is>
          <t>Mar</t>
        </is>
      </c>
      <c r="BE43" s="49" t="inlineStr">
        <is>
          <t>Avr</t>
        </is>
      </c>
      <c r="BF43" s="49" t="inlineStr">
        <is>
          <t>Mai</t>
        </is>
      </c>
      <c r="BG43" s="49" t="inlineStr">
        <is>
          <t>Jun</t>
        </is>
      </c>
      <c r="BH43" s="49" t="inlineStr">
        <is>
          <t>Jul</t>
        </is>
      </c>
      <c r="BI43" s="49" t="inlineStr">
        <is>
          <t>Aoû</t>
        </is>
      </c>
      <c r="BJ43" s="49" t="inlineStr">
        <is>
          <t>Sep</t>
        </is>
      </c>
      <c r="BK43" s="49" t="inlineStr">
        <is>
          <t>Oct</t>
        </is>
      </c>
      <c r="BL43" s="49" t="inlineStr">
        <is>
          <t>Nov</t>
        </is>
      </c>
      <c r="BM43" s="49" t="inlineStr">
        <is>
          <t>Déc</t>
        </is>
      </c>
      <c r="BN43" s="50" t="inlineStr">
        <is>
          <t>Total An</t>
        </is>
      </c>
    </row>
    <row r="44" ht="15.75" customHeight="1" s="77">
      <c r="A44" s="51" t="inlineStr">
        <is>
          <t>Volume Ventes (unités/mois)</t>
        </is>
      </c>
      <c r="B44" s="52" t="n">
        <v>10500</v>
      </c>
      <c r="C44" s="52" t="n">
        <v>11250</v>
      </c>
      <c r="D44" s="52" t="n">
        <v>12750</v>
      </c>
      <c r="E44" s="52" t="n">
        <v>14250</v>
      </c>
      <c r="F44" s="52" t="n">
        <v>15000</v>
      </c>
      <c r="G44" s="52" t="n">
        <v>15750</v>
      </c>
      <c r="H44" s="52" t="n">
        <v>16500</v>
      </c>
      <c r="I44" s="52" t="n">
        <v>17250</v>
      </c>
      <c r="J44" s="52" t="n">
        <v>18000</v>
      </c>
      <c r="K44" s="52" t="n">
        <v>16500</v>
      </c>
      <c r="L44" s="52" t="n">
        <v>14250</v>
      </c>
      <c r="M44" s="52" t="n">
        <v>12000</v>
      </c>
      <c r="N44" s="53">
        <f>SUM(B44:M44)</f>
        <v/>
      </c>
      <c r="O44" s="52" t="n">
        <v>15399</v>
      </c>
      <c r="P44" s="52" t="n">
        <v>16500</v>
      </c>
      <c r="Q44" s="52" t="n">
        <v>18700</v>
      </c>
      <c r="R44" s="52" t="n">
        <v>20900</v>
      </c>
      <c r="S44" s="52" t="n">
        <v>22000</v>
      </c>
      <c r="T44" s="52" t="n">
        <v>23100</v>
      </c>
      <c r="U44" s="52" t="n">
        <v>24200</v>
      </c>
      <c r="V44" s="52" t="n">
        <v>25299</v>
      </c>
      <c r="W44" s="52" t="n">
        <v>26400</v>
      </c>
      <c r="X44" s="52" t="n">
        <v>24200</v>
      </c>
      <c r="Y44" s="52" t="n">
        <v>20900</v>
      </c>
      <c r="Z44" s="52" t="n">
        <v>17600</v>
      </c>
      <c r="AA44" s="53">
        <f>SUM(O44:Z44)</f>
        <v/>
      </c>
      <c r="AB44" s="52" t="n">
        <v>23100</v>
      </c>
      <c r="AC44" s="52" t="n">
        <v>24750</v>
      </c>
      <c r="AD44" s="52" t="n">
        <v>28050</v>
      </c>
      <c r="AE44" s="52" t="n">
        <v>31350</v>
      </c>
      <c r="AF44" s="52" t="n">
        <v>33000</v>
      </c>
      <c r="AG44" s="52" t="n">
        <v>34650</v>
      </c>
      <c r="AH44" s="52" t="n">
        <v>36300</v>
      </c>
      <c r="AI44" s="52" t="n">
        <v>37950</v>
      </c>
      <c r="AJ44" s="52" t="n">
        <v>39600</v>
      </c>
      <c r="AK44" s="52" t="n">
        <v>36300</v>
      </c>
      <c r="AL44" s="52" t="n">
        <v>31350</v>
      </c>
      <c r="AM44" s="52" t="n">
        <v>26400</v>
      </c>
      <c r="AN44" s="53">
        <f>SUM(AB44:AM44)</f>
        <v/>
      </c>
      <c r="AO44" s="52" t="n">
        <v>33600</v>
      </c>
      <c r="AP44" s="52" t="n">
        <v>36000</v>
      </c>
      <c r="AQ44" s="52" t="n">
        <v>40800</v>
      </c>
      <c r="AR44" s="52" t="n">
        <v>45600</v>
      </c>
      <c r="AS44" s="52" t="n">
        <v>48000</v>
      </c>
      <c r="AT44" s="52" t="n">
        <v>50400</v>
      </c>
      <c r="AU44" s="52" t="n">
        <v>52800</v>
      </c>
      <c r="AV44" s="52" t="n">
        <v>55199</v>
      </c>
      <c r="AW44" s="52" t="n">
        <v>57600</v>
      </c>
      <c r="AX44" s="52" t="n">
        <v>52800</v>
      </c>
      <c r="AY44" s="52" t="n">
        <v>45600</v>
      </c>
      <c r="AZ44" s="52" t="n">
        <v>38400</v>
      </c>
      <c r="BA44" s="53">
        <f>SUM(AO44:AZ44)</f>
        <v/>
      </c>
      <c r="BB44" s="52" t="n">
        <v>49000</v>
      </c>
      <c r="BC44" s="52" t="n">
        <v>52500</v>
      </c>
      <c r="BD44" s="52" t="n">
        <v>59500</v>
      </c>
      <c r="BE44" s="52" t="n">
        <v>66500</v>
      </c>
      <c r="BF44" s="52" t="n">
        <v>70000</v>
      </c>
      <c r="BG44" s="52" t="n">
        <v>73500</v>
      </c>
      <c r="BH44" s="52" t="n">
        <v>77000</v>
      </c>
      <c r="BI44" s="52" t="n">
        <v>80500</v>
      </c>
      <c r="BJ44" s="52" t="n">
        <v>84000</v>
      </c>
      <c r="BK44" s="52" t="n">
        <v>77000</v>
      </c>
      <c r="BL44" s="52" t="n">
        <v>66500</v>
      </c>
      <c r="BM44" s="52" t="n">
        <v>56000</v>
      </c>
      <c r="BN44" s="53">
        <f>SUM(BB44:BM44)</f>
        <v/>
      </c>
    </row>
    <row r="45" ht="15.75" customHeight="1" s="77">
      <c r="A45" s="51" t="inlineStr">
        <is>
          <t>Prix Moyen Unitaire (FCFA)</t>
        </is>
      </c>
      <c r="B45" s="52" t="n"/>
      <c r="C45" s="52" t="n"/>
      <c r="D45" s="52" t="n"/>
      <c r="E45" s="52" t="n"/>
      <c r="F45" s="52" t="n"/>
      <c r="G45" s="52" t="n"/>
      <c r="H45" s="52" t="n"/>
      <c r="I45" s="52" t="n"/>
      <c r="J45" s="52" t="n"/>
      <c r="K45" s="52" t="n"/>
      <c r="L45" s="52" t="n"/>
      <c r="M45" s="52" t="n"/>
      <c r="N45" s="53">
        <f>SUM(B45:M45)</f>
        <v/>
      </c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3">
        <f>SUM(O45:Z45)</f>
        <v/>
      </c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  <c r="AL45" s="52" t="n"/>
      <c r="AM45" s="52" t="n"/>
      <c r="AN45" s="53">
        <f>SUM(AB45:AM45)</f>
        <v/>
      </c>
      <c r="AO45" s="52" t="n"/>
      <c r="AP45" s="52" t="n"/>
      <c r="AQ45" s="52" t="n"/>
      <c r="AR45" s="52" t="n"/>
      <c r="AS45" s="52" t="n"/>
      <c r="AT45" s="52" t="n"/>
      <c r="AU45" s="52" t="n"/>
      <c r="AV45" s="52" t="n"/>
      <c r="AW45" s="52" t="n"/>
      <c r="AX45" s="52" t="n"/>
      <c r="AY45" s="52" t="n"/>
      <c r="AZ45" s="52" t="n"/>
      <c r="BA45" s="53">
        <f>SUM(AO45:AZ45)</f>
        <v/>
      </c>
      <c r="BB45" s="52" t="n"/>
      <c r="BC45" s="52" t="n"/>
      <c r="BD45" s="52" t="n"/>
      <c r="BE45" s="52" t="n"/>
      <c r="BF45" s="52" t="n"/>
      <c r="BG45" s="52" t="n"/>
      <c r="BH45" s="52" t="n"/>
      <c r="BI45" s="52" t="n"/>
      <c r="BJ45" s="52" t="n"/>
      <c r="BK45" s="52" t="n"/>
      <c r="BL45" s="52" t="n"/>
      <c r="BM45" s="52" t="n"/>
      <c r="BN45" s="53">
        <f>SUM(BB45:BM45)</f>
        <v/>
      </c>
    </row>
    <row r="46" ht="15.75" customHeight="1" s="77">
      <c r="A46" s="51" t="inlineStr">
        <is>
          <t>Nombre Clients Actifs</t>
        </is>
      </c>
      <c r="B46" s="52" t="n">
        <v>30</v>
      </c>
      <c r="C46" s="52" t="n">
        <v>31</v>
      </c>
      <c r="D46" s="52" t="n">
        <v>32</v>
      </c>
      <c r="E46" s="52" t="n">
        <v>33</v>
      </c>
      <c r="F46" s="52" t="n">
        <v>34</v>
      </c>
      <c r="G46" s="52" t="n">
        <v>35</v>
      </c>
      <c r="H46" s="52" t="n">
        <v>36</v>
      </c>
      <c r="I46" s="52" t="n">
        <v>37</v>
      </c>
      <c r="J46" s="52" t="n">
        <v>38</v>
      </c>
      <c r="K46" s="52" t="n">
        <v>39</v>
      </c>
      <c r="L46" s="52" t="n">
        <v>40</v>
      </c>
      <c r="M46" s="52" t="n">
        <v>41</v>
      </c>
      <c r="N46" s="53">
        <f>SUM(B46:M46)</f>
        <v/>
      </c>
      <c r="O46" s="52" t="n">
        <v>50</v>
      </c>
      <c r="P46" s="52" t="n">
        <v>51</v>
      </c>
      <c r="Q46" s="52" t="n">
        <v>52</v>
      </c>
      <c r="R46" s="52" t="n">
        <v>53</v>
      </c>
      <c r="S46" s="52" t="n">
        <v>54</v>
      </c>
      <c r="T46" s="52" t="n">
        <v>55</v>
      </c>
      <c r="U46" s="52" t="n">
        <v>56</v>
      </c>
      <c r="V46" s="52" t="n">
        <v>57</v>
      </c>
      <c r="W46" s="52" t="n">
        <v>58</v>
      </c>
      <c r="X46" s="52" t="n">
        <v>59</v>
      </c>
      <c r="Y46" s="52" t="n">
        <v>60</v>
      </c>
      <c r="Z46" s="52" t="n">
        <v>61</v>
      </c>
      <c r="AA46" s="53">
        <f>SUM(O46:Z46)</f>
        <v/>
      </c>
      <c r="AB46" s="52" t="n">
        <v>75</v>
      </c>
      <c r="AC46" s="52" t="n">
        <v>76</v>
      </c>
      <c r="AD46" s="52" t="n">
        <v>77</v>
      </c>
      <c r="AE46" s="52" t="n">
        <v>78</v>
      </c>
      <c r="AF46" s="52" t="n">
        <v>79</v>
      </c>
      <c r="AG46" s="52" t="n">
        <v>80</v>
      </c>
      <c r="AH46" s="52" t="n">
        <v>81</v>
      </c>
      <c r="AI46" s="52" t="n">
        <v>82</v>
      </c>
      <c r="AJ46" s="52" t="n">
        <v>83</v>
      </c>
      <c r="AK46" s="52" t="n">
        <v>84</v>
      </c>
      <c r="AL46" s="52" t="n">
        <v>85</v>
      </c>
      <c r="AM46" s="52" t="n">
        <v>86</v>
      </c>
      <c r="AN46" s="53">
        <f>SUM(AB46:AM46)</f>
        <v/>
      </c>
      <c r="AO46" s="52" t="n">
        <v>110</v>
      </c>
      <c r="AP46" s="52" t="n">
        <v>111</v>
      </c>
      <c r="AQ46" s="52" t="n">
        <v>112</v>
      </c>
      <c r="AR46" s="52" t="n">
        <v>113</v>
      </c>
      <c r="AS46" s="52" t="n">
        <v>114</v>
      </c>
      <c r="AT46" s="52" t="n">
        <v>115</v>
      </c>
      <c r="AU46" s="52" t="n">
        <v>116</v>
      </c>
      <c r="AV46" s="52" t="n">
        <v>117</v>
      </c>
      <c r="AW46" s="52" t="n">
        <v>118</v>
      </c>
      <c r="AX46" s="52" t="n">
        <v>119</v>
      </c>
      <c r="AY46" s="52" t="n">
        <v>120</v>
      </c>
      <c r="AZ46" s="52" t="n">
        <v>121</v>
      </c>
      <c r="BA46" s="53">
        <f>SUM(AO46:AZ46)</f>
        <v/>
      </c>
      <c r="BB46" s="52" t="n">
        <v>160</v>
      </c>
      <c r="BC46" s="52" t="n">
        <v>161</v>
      </c>
      <c r="BD46" s="52" t="n">
        <v>162</v>
      </c>
      <c r="BE46" s="52" t="n">
        <v>163</v>
      </c>
      <c r="BF46" s="52" t="n">
        <v>164</v>
      </c>
      <c r="BG46" s="52" t="n">
        <v>165</v>
      </c>
      <c r="BH46" s="52" t="n">
        <v>166</v>
      </c>
      <c r="BI46" s="52" t="n">
        <v>167</v>
      </c>
      <c r="BJ46" s="52" t="n">
        <v>168</v>
      </c>
      <c r="BK46" s="52" t="n">
        <v>169</v>
      </c>
      <c r="BL46" s="52" t="n">
        <v>170</v>
      </c>
      <c r="BM46" s="52" t="n">
        <v>171</v>
      </c>
      <c r="BN46" s="53">
        <f>SUM(BB46:BM46)</f>
        <v/>
      </c>
    </row>
    <row r="47" ht="15.75" customHeight="1" s="77">
      <c r="A47" s="51" t="inlineStr">
        <is>
          <t>Taux Conversion (%)</t>
        </is>
      </c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  <c r="L47" s="52" t="n"/>
      <c r="M47" s="52" t="n"/>
      <c r="N47" s="53">
        <f>SUM(B47:M47)</f>
        <v/>
      </c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3">
        <f>SUM(O47:Z47)</f>
        <v/>
      </c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  <c r="AL47" s="52" t="n"/>
      <c r="AM47" s="52" t="n"/>
      <c r="AN47" s="53">
        <f>SUM(AB47:AM47)</f>
        <v/>
      </c>
      <c r="AO47" s="52" t="n"/>
      <c r="AP47" s="52" t="n"/>
      <c r="AQ47" s="52" t="n"/>
      <c r="AR47" s="52" t="n"/>
      <c r="AS47" s="52" t="n"/>
      <c r="AT47" s="52" t="n"/>
      <c r="AU47" s="52" t="n"/>
      <c r="AV47" s="52" t="n"/>
      <c r="AW47" s="52" t="n"/>
      <c r="AX47" s="52" t="n"/>
      <c r="AY47" s="52" t="n"/>
      <c r="AZ47" s="52" t="n"/>
      <c r="BA47" s="53">
        <f>SUM(AO47:AZ47)</f>
        <v/>
      </c>
      <c r="BB47" s="52" t="n"/>
      <c r="BC47" s="52" t="n"/>
      <c r="BD47" s="52" t="n"/>
      <c r="BE47" s="52" t="n"/>
      <c r="BF47" s="52" t="n"/>
      <c r="BG47" s="52" t="n"/>
      <c r="BH47" s="52" t="n"/>
      <c r="BI47" s="52" t="n"/>
      <c r="BJ47" s="52" t="n"/>
      <c r="BK47" s="52" t="n"/>
      <c r="BL47" s="52" t="n"/>
      <c r="BM47" s="52" t="n"/>
      <c r="BN47" s="53">
        <f>SUM(BB47:BM47)</f>
        <v/>
      </c>
    </row>
    <row r="48" ht="15.75" customHeight="1" s="77">
      <c r="A48" s="51" t="inlineStr">
        <is>
          <t>Taux Rétention (%)</t>
        </is>
      </c>
      <c r="B48" s="52" t="n"/>
      <c r="C48" s="52" t="n"/>
      <c r="D48" s="52" t="n"/>
      <c r="E48" s="52" t="n"/>
      <c r="F48" s="52" t="n"/>
      <c r="G48" s="52" t="n"/>
      <c r="H48" s="52" t="n"/>
      <c r="I48" s="52" t="n"/>
      <c r="J48" s="52" t="n"/>
      <c r="K48" s="52" t="n"/>
      <c r="L48" s="52" t="n"/>
      <c r="M48" s="52" t="n"/>
      <c r="N48" s="53">
        <f>SUM(B48:M48)</f>
        <v/>
      </c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3">
        <f>SUM(O48:Z48)</f>
        <v/>
      </c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  <c r="AL48" s="52" t="n"/>
      <c r="AM48" s="52" t="n"/>
      <c r="AN48" s="53">
        <f>SUM(AB48:AM48)</f>
        <v/>
      </c>
      <c r="AO48" s="52" t="n"/>
      <c r="AP48" s="52" t="n"/>
      <c r="AQ48" s="52" t="n"/>
      <c r="AR48" s="52" t="n"/>
      <c r="AS48" s="52" t="n"/>
      <c r="AT48" s="52" t="n"/>
      <c r="AU48" s="52" t="n"/>
      <c r="AV48" s="52" t="n"/>
      <c r="AW48" s="52" t="n"/>
      <c r="AX48" s="52" t="n"/>
      <c r="AY48" s="52" t="n"/>
      <c r="AZ48" s="52" t="n"/>
      <c r="BA48" s="53">
        <f>SUM(AO48:AZ48)</f>
        <v/>
      </c>
      <c r="BB48" s="52" t="n"/>
      <c r="BC48" s="52" t="n"/>
      <c r="BD48" s="52" t="n"/>
      <c r="BE48" s="52" t="n"/>
      <c r="BF48" s="52" t="n"/>
      <c r="BG48" s="52" t="n"/>
      <c r="BH48" s="52" t="n"/>
      <c r="BI48" s="52" t="n"/>
      <c r="BJ48" s="52" t="n"/>
      <c r="BK48" s="52" t="n"/>
      <c r="BL48" s="52" t="n"/>
      <c r="BM48" s="52" t="n"/>
      <c r="BN48" s="53">
        <f>SUM(BB48:BM48)</f>
        <v/>
      </c>
    </row>
    <row r="49" ht="15.75" customHeight="1" s="77">
      <c r="A49" s="54" t="inlineStr">
        <is>
          <t>TOTAL</t>
        </is>
      </c>
      <c r="B49" s="53">
        <f>SUM(B44:B48)</f>
        <v/>
      </c>
      <c r="C49" s="53">
        <f>SUM(C44:C48)</f>
        <v/>
      </c>
      <c r="D49" s="53">
        <f>SUM(D44:D48)</f>
        <v/>
      </c>
      <c r="E49" s="53">
        <f>SUM(E44:E48)</f>
        <v/>
      </c>
      <c r="F49" s="53">
        <f>SUM(F44:F48)</f>
        <v/>
      </c>
      <c r="G49" s="53">
        <f>SUM(G44:G48)</f>
        <v/>
      </c>
      <c r="H49" s="53">
        <f>SUM(H44:H48)</f>
        <v/>
      </c>
      <c r="I49" s="53">
        <f>SUM(I44:I48)</f>
        <v/>
      </c>
      <c r="J49" s="53">
        <f>SUM(J44:J48)</f>
        <v/>
      </c>
      <c r="K49" s="53">
        <f>SUM(K44:K48)</f>
        <v/>
      </c>
      <c r="L49" s="53">
        <f>SUM(L44:L48)</f>
        <v/>
      </c>
      <c r="M49" s="53">
        <f>SUM(M44:M48)</f>
        <v/>
      </c>
      <c r="N49" s="55">
        <f>SUM(B49:M49)</f>
        <v/>
      </c>
      <c r="O49" s="53">
        <f>SUM(O44:O48)</f>
        <v/>
      </c>
      <c r="P49" s="53">
        <f>SUM(P44:P48)</f>
        <v/>
      </c>
      <c r="Q49" s="53">
        <f>SUM(Q44:Q48)</f>
        <v/>
      </c>
      <c r="R49" s="53">
        <f>SUM(R44:R48)</f>
        <v/>
      </c>
      <c r="S49" s="53">
        <f>SUM(S44:S48)</f>
        <v/>
      </c>
      <c r="T49" s="53">
        <f>SUM(T44:T48)</f>
        <v/>
      </c>
      <c r="U49" s="53">
        <f>SUM(U44:U48)</f>
        <v/>
      </c>
      <c r="V49" s="53">
        <f>SUM(V44:V48)</f>
        <v/>
      </c>
      <c r="W49" s="53">
        <f>SUM(W44:W48)</f>
        <v/>
      </c>
      <c r="X49" s="53">
        <f>SUM(X44:X48)</f>
        <v/>
      </c>
      <c r="Y49" s="53">
        <f>SUM(Y44:Y48)</f>
        <v/>
      </c>
      <c r="Z49" s="53">
        <f>SUM(Z44:Z48)</f>
        <v/>
      </c>
      <c r="AA49" s="55">
        <f>SUM(O49:Z49)</f>
        <v/>
      </c>
      <c r="AB49" s="53">
        <f>SUM(AB44:AB48)</f>
        <v/>
      </c>
      <c r="AC49" s="53">
        <f>SUM(AC44:AC48)</f>
        <v/>
      </c>
      <c r="AD49" s="53">
        <f>SUM(AD44:AD48)</f>
        <v/>
      </c>
      <c r="AE49" s="53">
        <f>SUM(AE44:AE48)</f>
        <v/>
      </c>
      <c r="AF49" s="53">
        <f>SUM(AF44:AF48)</f>
        <v/>
      </c>
      <c r="AG49" s="53">
        <f>SUM(AG44:AG48)</f>
        <v/>
      </c>
      <c r="AH49" s="53">
        <f>SUM(AH44:AH48)</f>
        <v/>
      </c>
      <c r="AI49" s="53">
        <f>SUM(AI44:AI48)</f>
        <v/>
      </c>
      <c r="AJ49" s="53">
        <f>SUM(AJ44:AJ48)</f>
        <v/>
      </c>
      <c r="AK49" s="53">
        <f>SUM(AK44:AK48)</f>
        <v/>
      </c>
      <c r="AL49" s="53">
        <f>SUM(AL44:AL48)</f>
        <v/>
      </c>
      <c r="AM49" s="53">
        <f>SUM(AM44:AM48)</f>
        <v/>
      </c>
      <c r="AN49" s="55">
        <f>SUM(AB49:AM49)</f>
        <v/>
      </c>
      <c r="AO49" s="53">
        <f>SUM(AO44:AO48)</f>
        <v/>
      </c>
      <c r="AP49" s="53">
        <f>SUM(AP44:AP48)</f>
        <v/>
      </c>
      <c r="AQ49" s="53">
        <f>SUM(AQ44:AQ48)</f>
        <v/>
      </c>
      <c r="AR49" s="53">
        <f>SUM(AR44:AR48)</f>
        <v/>
      </c>
      <c r="AS49" s="53">
        <f>SUM(AS44:AS48)</f>
        <v/>
      </c>
      <c r="AT49" s="53">
        <f>SUM(AT44:AT48)</f>
        <v/>
      </c>
      <c r="AU49" s="53">
        <f>SUM(AU44:AU48)</f>
        <v/>
      </c>
      <c r="AV49" s="53">
        <f>SUM(AV44:AV48)</f>
        <v/>
      </c>
      <c r="AW49" s="53">
        <f>SUM(AW44:AW48)</f>
        <v/>
      </c>
      <c r="AX49" s="53">
        <f>SUM(AX44:AX48)</f>
        <v/>
      </c>
      <c r="AY49" s="53">
        <f>SUM(AY44:AY48)</f>
        <v/>
      </c>
      <c r="AZ49" s="53">
        <f>SUM(AZ44:AZ48)</f>
        <v/>
      </c>
      <c r="BA49" s="55">
        <f>SUM(AO49:AZ49)</f>
        <v/>
      </c>
      <c r="BB49" s="53">
        <f>SUM(BB44:BB48)</f>
        <v/>
      </c>
      <c r="BC49" s="53">
        <f>SUM(BC44:BC48)</f>
        <v/>
      </c>
      <c r="BD49" s="53">
        <f>SUM(BD44:BD48)</f>
        <v/>
      </c>
      <c r="BE49" s="53">
        <f>SUM(BE44:BE48)</f>
        <v/>
      </c>
      <c r="BF49" s="53">
        <f>SUM(BF44:BF48)</f>
        <v/>
      </c>
      <c r="BG49" s="53">
        <f>SUM(BG44:BG48)</f>
        <v/>
      </c>
      <c r="BH49" s="53">
        <f>SUM(BH44:BH48)</f>
        <v/>
      </c>
      <c r="BI49" s="53">
        <f>SUM(BI44:BI48)</f>
        <v/>
      </c>
      <c r="BJ49" s="53">
        <f>SUM(BJ44:BJ48)</f>
        <v/>
      </c>
      <c r="BK49" s="53">
        <f>SUM(BK44:BK48)</f>
        <v/>
      </c>
      <c r="BL49" s="53">
        <f>SUM(BL44:BL48)</f>
        <v/>
      </c>
      <c r="BM49" s="53">
        <f>SUM(BM44:BM48)</f>
        <v/>
      </c>
      <c r="BN49" s="55">
        <f>SUM(BB49:BM49)</f>
        <v/>
      </c>
    </row>
    <row r="50" ht="15.75" customHeight="1" s="77"/>
    <row r="51" ht="15.75" customHeight="1" s="77">
      <c r="A51" s="86" t="inlineStr">
        <is>
          <t>💡 Conseil : Saisissez les montants mois par mois pour refléter les variations saisonnières. Les totaux se calculent automatiquement.</t>
        </is>
      </c>
    </row>
    <row r="52" ht="15.75" customHeight="1" s="77"/>
    <row r="53" ht="15.75" customHeight="1" s="77"/>
    <row r="54" ht="15.75" customHeight="1" s="77"/>
    <row r="55" ht="15.75" customHeight="1" s="77"/>
    <row r="56" ht="15.75" customHeight="1" s="77"/>
    <row r="57" ht="15.75" customHeight="1" s="77"/>
    <row r="58" ht="15.75" customHeight="1" s="77"/>
    <row r="59" ht="15.75" customHeight="1" s="77"/>
    <row r="60" ht="15.75" customHeight="1" s="77"/>
    <row r="61" ht="15.75" customHeight="1" s="77"/>
    <row r="62" ht="15.75" customHeight="1" s="77"/>
    <row r="63" ht="15.75" customHeight="1" s="77"/>
    <row r="64" ht="15.75" customHeight="1" s="77"/>
    <row r="65" ht="15.75" customHeight="1" s="77"/>
    <row r="66" ht="15.75" customHeight="1" s="77"/>
    <row r="67" ht="15.75" customHeight="1" s="77"/>
    <row r="68" ht="15.75" customHeight="1" s="77"/>
    <row r="69" ht="15.75" customHeight="1" s="77"/>
    <row r="70" ht="15.75" customHeight="1" s="77"/>
    <row r="71" ht="15.75" customHeight="1" s="77"/>
    <row r="72" ht="15.75" customHeight="1" s="77"/>
    <row r="73" ht="15.75" customHeight="1" s="77"/>
    <row r="74" ht="15.75" customHeight="1" s="77"/>
    <row r="75" ht="15.75" customHeight="1" s="77"/>
    <row r="76" ht="15.75" customHeight="1" s="77"/>
    <row r="77" ht="15.75" customHeight="1" s="77"/>
    <row r="78" ht="15.75" customHeight="1" s="77"/>
    <row r="79" ht="15.75" customHeight="1" s="77"/>
    <row r="80" ht="15.75" customHeight="1" s="77"/>
    <row r="81" ht="15.75" customHeight="1" s="77"/>
    <row r="82" ht="15.75" customHeight="1" s="77"/>
    <row r="83" ht="15.75" customHeight="1" s="77"/>
    <row r="84" ht="15.75" customHeight="1" s="77"/>
    <row r="85" ht="15.75" customHeight="1" s="77"/>
    <row r="86" ht="15.75" customHeight="1" s="77"/>
    <row r="87" ht="15.75" customHeight="1" s="77"/>
    <row r="88" ht="15.75" customHeight="1" s="77"/>
    <row r="89" ht="15.75" customHeight="1" s="77"/>
    <row r="90" ht="15.75" customHeight="1" s="77"/>
    <row r="91" ht="15.75" customHeight="1" s="77"/>
    <row r="92" ht="15.75" customHeight="1" s="77"/>
    <row r="93" ht="15.75" customHeight="1" s="77"/>
    <row r="94" ht="15.75" customHeight="1" s="77"/>
    <row r="95" ht="15.75" customHeight="1" s="77"/>
    <row r="96" ht="15.75" customHeight="1" s="77"/>
    <row r="97" ht="15.75" customHeight="1" s="77"/>
    <row r="98" ht="15.75" customHeight="1" s="77"/>
    <row r="99" ht="15.75" customHeight="1" s="77"/>
    <row r="100" ht="15.75" customHeight="1" s="77"/>
    <row r="101" ht="15.75" customHeight="1" s="77"/>
    <row r="102" ht="15.75" customHeight="1" s="77"/>
    <row r="103" ht="15.75" customHeight="1" s="77"/>
    <row r="104" ht="15.75" customHeight="1" s="77"/>
    <row r="105" ht="15.75" customHeight="1" s="77"/>
    <row r="106" ht="15.75" customHeight="1" s="77"/>
    <row r="107" ht="15.75" customHeight="1" s="77"/>
    <row r="108" ht="15.75" customHeight="1" s="77"/>
    <row r="109" ht="15.75" customHeight="1" s="77"/>
    <row r="110" ht="15.75" customHeight="1" s="77"/>
    <row r="111" ht="15.75" customHeight="1" s="77"/>
    <row r="112" ht="15.75" customHeight="1" s="77"/>
    <row r="113" ht="15.75" customHeight="1" s="77"/>
    <row r="114" ht="15.75" customHeight="1" s="77"/>
    <row r="115" ht="15.75" customHeight="1" s="77"/>
    <row r="116" ht="15.75" customHeight="1" s="77"/>
    <row r="117" ht="15.75" customHeight="1" s="77"/>
    <row r="118" ht="15.75" customHeight="1" s="77"/>
    <row r="119" ht="15.75" customHeight="1" s="77"/>
    <row r="120" ht="15.75" customHeight="1" s="77"/>
    <row r="121" ht="15.75" customHeight="1" s="77"/>
    <row r="122" ht="15.75" customHeight="1" s="77"/>
    <row r="123" ht="15.75" customHeight="1" s="77"/>
    <row r="124" ht="15.75" customHeight="1" s="77"/>
    <row r="125" ht="15.75" customHeight="1" s="77"/>
    <row r="126" ht="15.75" customHeight="1" s="77"/>
    <row r="127" ht="15.75" customHeight="1" s="77"/>
    <row r="128" ht="15.75" customHeight="1" s="77"/>
    <row r="129" ht="15.75" customHeight="1" s="77"/>
    <row r="130" ht="15.75" customHeight="1" s="77"/>
    <row r="131" ht="15.75" customHeight="1" s="77"/>
    <row r="132" ht="15.75" customHeight="1" s="77"/>
    <row r="133" ht="15.75" customHeight="1" s="77"/>
    <row r="134" ht="15.75" customHeight="1" s="77"/>
    <row r="135" ht="15.75" customHeight="1" s="77"/>
    <row r="136" ht="15.75" customHeight="1" s="77"/>
    <row r="137" ht="15.75" customHeight="1" s="77"/>
    <row r="138" ht="15.75" customHeight="1" s="77"/>
    <row r="139" ht="15.75" customHeight="1" s="77"/>
    <row r="140" ht="15.75" customHeight="1" s="77"/>
    <row r="141" ht="15.75" customHeight="1" s="77"/>
    <row r="142" ht="15.75" customHeight="1" s="77"/>
    <row r="143" ht="15.75" customHeight="1" s="77"/>
    <row r="144" ht="15.75" customHeight="1" s="77"/>
    <row r="145" ht="15.75" customHeight="1" s="77"/>
    <row r="146" ht="15.75" customHeight="1" s="77"/>
    <row r="147" ht="15.75" customHeight="1" s="77"/>
    <row r="148" ht="15.75" customHeight="1" s="77"/>
    <row r="149" ht="15.75" customHeight="1" s="77"/>
    <row r="150" ht="15.75" customHeight="1" s="77"/>
    <row r="151" ht="15.75" customHeight="1" s="77"/>
    <row r="152" ht="15.75" customHeight="1" s="77"/>
    <row r="153" ht="15.75" customHeight="1" s="77"/>
    <row r="154" ht="15.75" customHeight="1" s="77"/>
    <row r="155" ht="15.75" customHeight="1" s="77"/>
    <row r="156" ht="15.75" customHeight="1" s="77"/>
    <row r="157" ht="15.75" customHeight="1" s="77"/>
    <row r="158" ht="15.75" customHeight="1" s="77"/>
    <row r="159" ht="15.75" customHeight="1" s="77"/>
    <row r="160" ht="15.75" customHeight="1" s="77"/>
    <row r="161" ht="15.75" customHeight="1" s="77"/>
    <row r="162" ht="15.75" customHeight="1" s="77"/>
    <row r="163" ht="15.75" customHeight="1" s="77"/>
    <row r="164" ht="15.75" customHeight="1" s="77"/>
    <row r="165" ht="15.75" customHeight="1" s="77"/>
    <row r="166" ht="15.75" customHeight="1" s="77"/>
    <row r="167" ht="15.75" customHeight="1" s="77"/>
    <row r="168" ht="15.75" customHeight="1" s="77"/>
    <row r="169" ht="15.75" customHeight="1" s="77"/>
    <row r="170" ht="15.75" customHeight="1" s="77"/>
    <row r="171" ht="15.75" customHeight="1" s="77"/>
    <row r="172" ht="15.75" customHeight="1" s="77"/>
    <row r="173" ht="15.75" customHeight="1" s="77"/>
    <row r="174" ht="15.75" customHeight="1" s="77"/>
    <row r="175" ht="15.75" customHeight="1" s="77"/>
    <row r="176" ht="15.75" customHeight="1" s="77"/>
    <row r="177" ht="15.75" customHeight="1" s="77"/>
    <row r="178" ht="15.75" customHeight="1" s="77"/>
    <row r="179" ht="15.75" customHeight="1" s="77"/>
    <row r="180" ht="15.75" customHeight="1" s="77"/>
    <row r="181" ht="15.75" customHeight="1" s="77"/>
    <row r="182" ht="15.75" customHeight="1" s="77"/>
    <row r="183" ht="15.75" customHeight="1" s="77"/>
    <row r="184" ht="15.75" customHeight="1" s="77"/>
    <row r="185" ht="15.75" customHeight="1" s="77"/>
    <row r="186" ht="15.75" customHeight="1" s="77"/>
    <row r="187" ht="15.75" customHeight="1" s="77"/>
    <row r="188" ht="15.75" customHeight="1" s="77"/>
    <row r="189" ht="15.75" customHeight="1" s="77"/>
    <row r="190" ht="15.75" customHeight="1" s="77"/>
    <row r="191" ht="15.75" customHeight="1" s="77"/>
    <row r="192" ht="15.75" customHeight="1" s="77"/>
    <row r="193" ht="15.75" customHeight="1" s="77"/>
    <row r="194" ht="15.75" customHeight="1" s="77"/>
    <row r="195" ht="15.75" customHeight="1" s="77"/>
    <row r="196" ht="15.75" customHeight="1" s="77"/>
    <row r="197" ht="15.75" customHeight="1" s="77"/>
    <row r="198" ht="15.75" customHeight="1" s="77"/>
    <row r="199" ht="15.75" customHeight="1" s="77"/>
    <row r="200" ht="15.75" customHeight="1" s="77"/>
    <row r="201" ht="15.75" customHeight="1" s="77"/>
    <row r="202" ht="15.75" customHeight="1" s="77"/>
    <row r="203" ht="15.75" customHeight="1" s="77"/>
    <row r="204" ht="15.75" customHeight="1" s="77"/>
    <row r="205" ht="15.75" customHeight="1" s="77"/>
    <row r="206" ht="15.75" customHeight="1" s="77"/>
    <row r="207" ht="15.75" customHeight="1" s="77"/>
    <row r="208" ht="15.75" customHeight="1" s="77"/>
    <row r="209" ht="15.75" customHeight="1" s="77"/>
    <row r="210" ht="15.75" customHeight="1" s="77"/>
    <row r="211" ht="15.75" customHeight="1" s="77"/>
    <row r="212" ht="15.75" customHeight="1" s="77"/>
    <row r="213" ht="15.75" customHeight="1" s="77"/>
    <row r="214" ht="15.75" customHeight="1" s="77"/>
    <row r="215" ht="15.75" customHeight="1" s="77"/>
    <row r="216" ht="15.75" customHeight="1" s="77"/>
    <row r="217" ht="15.75" customHeight="1" s="77"/>
    <row r="218" ht="15.75" customHeight="1" s="77"/>
    <row r="219" ht="15.75" customHeight="1" s="77"/>
    <row r="220" ht="15.75" customHeight="1" s="77"/>
    <row r="221" ht="15.75" customHeight="1" s="77"/>
    <row r="222" ht="15.75" customHeight="1" s="77"/>
    <row r="223" ht="15.75" customHeight="1" s="77"/>
    <row r="224" ht="15.75" customHeight="1" s="77"/>
    <row r="225" ht="15.75" customHeight="1" s="77"/>
    <row r="226" ht="15.75" customHeight="1" s="77"/>
    <row r="227" ht="15.75" customHeight="1" s="77"/>
    <row r="228" ht="15.75" customHeight="1" s="77"/>
    <row r="229" ht="15.75" customHeight="1" s="77"/>
    <row r="230" ht="15.75" customHeight="1" s="77"/>
    <row r="231" ht="15.75" customHeight="1" s="77"/>
    <row r="232" ht="15.75" customHeight="1" s="77"/>
    <row r="233" ht="15.75" customHeight="1" s="77"/>
    <row r="234" ht="15.75" customHeight="1" s="77"/>
    <row r="235" ht="15.75" customHeight="1" s="77"/>
    <row r="236" ht="15.75" customHeight="1" s="77"/>
    <row r="237" ht="15.75" customHeight="1" s="77"/>
    <row r="238" ht="15.75" customHeight="1" s="77"/>
    <row r="239" ht="15.75" customHeight="1" s="77"/>
    <row r="240" ht="15.75" customHeight="1" s="77"/>
    <row r="241" ht="15.75" customHeight="1" s="77"/>
    <row r="242" ht="15.75" customHeight="1" s="77"/>
    <row r="243" ht="15.75" customHeight="1" s="77"/>
    <row r="244" ht="15.75" customHeight="1" s="77"/>
    <row r="245" ht="15.75" customHeight="1" s="77"/>
    <row r="246" ht="15.75" customHeight="1" s="77"/>
    <row r="247" ht="15.75" customHeight="1" s="77"/>
    <row r="248" ht="15.75" customHeight="1" s="77"/>
    <row r="249" ht="15.75" customHeight="1" s="77"/>
    <row r="250" ht="15.75" customHeight="1" s="77"/>
    <row r="251" ht="15.75" customHeight="1" s="77"/>
    <row r="252" ht="15.75" customHeight="1" s="77"/>
    <row r="253" ht="15.75" customHeight="1" s="77"/>
    <row r="254" ht="15.75" customHeight="1" s="77"/>
    <row r="255" ht="15.75" customHeight="1" s="77"/>
    <row r="256" ht="15.75" customHeight="1" s="77"/>
    <row r="257" ht="15.75" customHeight="1" s="77"/>
    <row r="258" ht="15.75" customHeight="1" s="77"/>
    <row r="259" ht="15.75" customHeight="1" s="77"/>
    <row r="260" ht="15.75" customHeight="1" s="77"/>
    <row r="261" ht="15.75" customHeight="1" s="77"/>
    <row r="262" ht="15.75" customHeight="1" s="77"/>
    <row r="263" ht="15.75" customHeight="1" s="77"/>
    <row r="264" ht="15.75" customHeight="1" s="77"/>
    <row r="265" ht="15.75" customHeight="1" s="77"/>
    <row r="266" ht="15.75" customHeight="1" s="77"/>
    <row r="267" ht="15.75" customHeight="1" s="77"/>
    <row r="268" ht="15.75" customHeight="1" s="77"/>
    <row r="269" ht="15.75" customHeight="1" s="77"/>
    <row r="270" ht="15.75" customHeight="1" s="77"/>
    <row r="271" ht="15.75" customHeight="1" s="77"/>
    <row r="272" ht="15.75" customHeight="1" s="77"/>
    <row r="273" ht="15.75" customHeight="1" s="77"/>
    <row r="274" ht="15.75" customHeight="1" s="77"/>
    <row r="275" ht="15.75" customHeight="1" s="77"/>
    <row r="276" ht="15.75" customHeight="1" s="77"/>
    <row r="277" ht="15.75" customHeight="1" s="77"/>
    <row r="278" ht="15.75" customHeight="1" s="77"/>
    <row r="279" ht="15.75" customHeight="1" s="77"/>
    <row r="280" ht="15.75" customHeight="1" s="77"/>
    <row r="281" ht="15.75" customHeight="1" s="77"/>
    <row r="282" ht="15.75" customHeight="1" s="77"/>
    <row r="283" ht="15.75" customHeight="1" s="77"/>
    <row r="284" ht="15.75" customHeight="1" s="77"/>
    <row r="285" ht="15.75" customHeight="1" s="77"/>
    <row r="286" ht="15.75" customHeight="1" s="77"/>
    <row r="287" ht="15.75" customHeight="1" s="77"/>
    <row r="288" ht="15.75" customHeight="1" s="77"/>
    <row r="289" ht="15.75" customHeight="1" s="77"/>
    <row r="290" ht="15.75" customHeight="1" s="77"/>
    <row r="291" ht="15.75" customHeight="1" s="77"/>
    <row r="292" ht="15.75" customHeight="1" s="77"/>
    <row r="293" ht="15.75" customHeight="1" s="77"/>
    <row r="294" ht="15.75" customHeight="1" s="77"/>
    <row r="295" ht="15.75" customHeight="1" s="77"/>
    <row r="296" ht="15.75" customHeight="1" s="77"/>
    <row r="297" ht="15.75" customHeight="1" s="77"/>
    <row r="298" ht="15.75" customHeight="1" s="77"/>
    <row r="299" ht="15.75" customHeight="1" s="77"/>
    <row r="300" ht="15.75" customHeight="1" s="77"/>
    <row r="301" ht="15.75" customHeight="1" s="77"/>
    <row r="302" ht="15.75" customHeight="1" s="77"/>
    <row r="303" ht="15.75" customHeight="1" s="77"/>
    <row r="304" ht="15.75" customHeight="1" s="77"/>
    <row r="305" ht="15.75" customHeight="1" s="77"/>
    <row r="306" ht="15.75" customHeight="1" s="77"/>
    <row r="307" ht="15.75" customHeight="1" s="77"/>
    <row r="308" ht="15.75" customHeight="1" s="77"/>
    <row r="309" ht="15.75" customHeight="1" s="77"/>
    <row r="310" ht="15.75" customHeight="1" s="77"/>
    <row r="311" ht="15.75" customHeight="1" s="77"/>
    <row r="312" ht="15.75" customHeight="1" s="77"/>
    <row r="313" ht="15.75" customHeight="1" s="77"/>
    <row r="314" ht="15.75" customHeight="1" s="77"/>
    <row r="315" ht="15.75" customHeight="1" s="77"/>
    <row r="316" ht="15.75" customHeight="1" s="77"/>
    <row r="317" ht="15.75" customHeight="1" s="77"/>
    <row r="318" ht="15.75" customHeight="1" s="77"/>
    <row r="319" ht="15.75" customHeight="1" s="77"/>
    <row r="320" ht="15.75" customHeight="1" s="77"/>
    <row r="321" ht="15.75" customHeight="1" s="77"/>
    <row r="322" ht="15.75" customHeight="1" s="77"/>
    <row r="323" ht="15.75" customHeight="1" s="77"/>
    <row r="324" ht="15.75" customHeight="1" s="77"/>
    <row r="325" ht="15.75" customHeight="1" s="77"/>
    <row r="326" ht="15.75" customHeight="1" s="77"/>
    <row r="327" ht="15.75" customHeight="1" s="77"/>
    <row r="328" ht="15.75" customHeight="1" s="77"/>
    <row r="329" ht="15.75" customHeight="1" s="77"/>
    <row r="330" ht="15.75" customHeight="1" s="77"/>
    <row r="331" ht="15.75" customHeight="1" s="77"/>
    <row r="332" ht="15.75" customHeight="1" s="77"/>
    <row r="333" ht="15.75" customHeight="1" s="77"/>
    <row r="334" ht="15.75" customHeight="1" s="77"/>
    <row r="335" ht="15.75" customHeight="1" s="77"/>
    <row r="336" ht="15.75" customHeight="1" s="77"/>
    <row r="337" ht="15.75" customHeight="1" s="77"/>
    <row r="338" ht="15.75" customHeight="1" s="77"/>
    <row r="339" ht="15.75" customHeight="1" s="77"/>
    <row r="340" ht="15.75" customHeight="1" s="77"/>
    <row r="341" ht="15.75" customHeight="1" s="77"/>
    <row r="342" ht="15.75" customHeight="1" s="77"/>
    <row r="343" ht="15.75" customHeight="1" s="77"/>
    <row r="344" ht="15.75" customHeight="1" s="77"/>
    <row r="345" ht="15.75" customHeight="1" s="77"/>
    <row r="346" ht="15.75" customHeight="1" s="77"/>
    <row r="347" ht="15.75" customHeight="1" s="77"/>
    <row r="348" ht="15.75" customHeight="1" s="77"/>
    <row r="349" ht="15.75" customHeight="1" s="77"/>
    <row r="350" ht="15.75" customHeight="1" s="77"/>
    <row r="351" ht="15.75" customHeight="1" s="77"/>
    <row r="352" ht="15.75" customHeight="1" s="77"/>
    <row r="353" ht="15.75" customHeight="1" s="77"/>
    <row r="354" ht="15.75" customHeight="1" s="77"/>
    <row r="355" ht="15.75" customHeight="1" s="77"/>
    <row r="356" ht="15.75" customHeight="1" s="77"/>
    <row r="357" ht="15.75" customHeight="1" s="77"/>
    <row r="358" ht="15.75" customHeight="1" s="77"/>
    <row r="359" ht="15.75" customHeight="1" s="77"/>
    <row r="360" ht="15.75" customHeight="1" s="77"/>
    <row r="361" ht="15.75" customHeight="1" s="77"/>
    <row r="362" ht="15.75" customHeight="1" s="77"/>
    <row r="363" ht="15.75" customHeight="1" s="77"/>
    <row r="364" ht="15.75" customHeight="1" s="77"/>
    <row r="365" ht="15.75" customHeight="1" s="77"/>
    <row r="366" ht="15.75" customHeight="1" s="77"/>
    <row r="367" ht="15.75" customHeight="1" s="77"/>
    <row r="368" ht="15.75" customHeight="1" s="77"/>
    <row r="369" ht="15.75" customHeight="1" s="77"/>
    <row r="370" ht="15.75" customHeight="1" s="77"/>
    <row r="371" ht="15.75" customHeight="1" s="77"/>
    <row r="372" ht="15.75" customHeight="1" s="77"/>
    <row r="373" ht="15.75" customHeight="1" s="77"/>
    <row r="374" ht="15.75" customHeight="1" s="77"/>
    <row r="375" ht="15.75" customHeight="1" s="77"/>
    <row r="376" ht="15.75" customHeight="1" s="77"/>
    <row r="377" ht="15.75" customHeight="1" s="77"/>
    <row r="378" ht="15.75" customHeight="1" s="77"/>
    <row r="379" ht="15.75" customHeight="1" s="77"/>
    <row r="380" ht="15.75" customHeight="1" s="77"/>
    <row r="381" ht="15.75" customHeight="1" s="77"/>
    <row r="382" ht="15.75" customHeight="1" s="77"/>
    <row r="383" ht="15.75" customHeight="1" s="77"/>
    <row r="384" ht="15.75" customHeight="1" s="77"/>
    <row r="385" ht="15.75" customHeight="1" s="77"/>
    <row r="386" ht="15.75" customHeight="1" s="77"/>
    <row r="387" ht="15.75" customHeight="1" s="77"/>
    <row r="388" ht="15.75" customHeight="1" s="77"/>
    <row r="389" ht="15.75" customHeight="1" s="77"/>
    <row r="390" ht="15.75" customHeight="1" s="77"/>
    <row r="391" ht="15.75" customHeight="1" s="77"/>
    <row r="392" ht="15.75" customHeight="1" s="77"/>
    <row r="393" ht="15.75" customHeight="1" s="77"/>
    <row r="394" ht="15.75" customHeight="1" s="77"/>
    <row r="395" ht="15.75" customHeight="1" s="77"/>
    <row r="396" ht="15.75" customHeight="1" s="77"/>
    <row r="397" ht="15.75" customHeight="1" s="77"/>
    <row r="398" ht="15.75" customHeight="1" s="77"/>
    <row r="399" ht="15.75" customHeight="1" s="77"/>
    <row r="400" ht="15.75" customHeight="1" s="77"/>
    <row r="401" ht="15.75" customHeight="1" s="77"/>
    <row r="402" ht="15.75" customHeight="1" s="77"/>
    <row r="403" ht="15.75" customHeight="1" s="77"/>
    <row r="404" ht="15.75" customHeight="1" s="77"/>
    <row r="405" ht="15.75" customHeight="1" s="77"/>
    <row r="406" ht="15.75" customHeight="1" s="77"/>
    <row r="407" ht="15.75" customHeight="1" s="77"/>
    <row r="408" ht="15.75" customHeight="1" s="77"/>
    <row r="409" ht="15.75" customHeight="1" s="77"/>
    <row r="410" ht="15.75" customHeight="1" s="77"/>
    <row r="411" ht="15.75" customHeight="1" s="77"/>
    <row r="412" ht="15.75" customHeight="1" s="77"/>
    <row r="413" ht="15.75" customHeight="1" s="77"/>
    <row r="414" ht="15.75" customHeight="1" s="77"/>
    <row r="415" ht="15.75" customHeight="1" s="77"/>
    <row r="416" ht="15.75" customHeight="1" s="77"/>
    <row r="417" ht="15.75" customHeight="1" s="77"/>
    <row r="418" ht="15.75" customHeight="1" s="77"/>
    <row r="419" ht="15.75" customHeight="1" s="77"/>
    <row r="420" ht="15.75" customHeight="1" s="77"/>
    <row r="421" ht="15.75" customHeight="1" s="77"/>
    <row r="422" ht="15.75" customHeight="1" s="77"/>
    <row r="423" ht="15.75" customHeight="1" s="77"/>
    <row r="424" ht="15.75" customHeight="1" s="77"/>
    <row r="425" ht="15.75" customHeight="1" s="77"/>
    <row r="426" ht="15.75" customHeight="1" s="77"/>
    <row r="427" ht="15.75" customHeight="1" s="77"/>
    <row r="428" ht="15.75" customHeight="1" s="77"/>
    <row r="429" ht="15.75" customHeight="1" s="77"/>
    <row r="430" ht="15.75" customHeight="1" s="77"/>
    <row r="431" ht="15.75" customHeight="1" s="77"/>
    <row r="432" ht="15.75" customHeight="1" s="77"/>
    <row r="433" ht="15.75" customHeight="1" s="77"/>
    <row r="434" ht="15.75" customHeight="1" s="77"/>
    <row r="435" ht="15.75" customHeight="1" s="77"/>
    <row r="436" ht="15.75" customHeight="1" s="77"/>
    <row r="437" ht="15.75" customHeight="1" s="77"/>
    <row r="438" ht="15.75" customHeight="1" s="77"/>
    <row r="439" ht="15.75" customHeight="1" s="77"/>
    <row r="440" ht="15.75" customHeight="1" s="77"/>
    <row r="441" ht="15.75" customHeight="1" s="77"/>
    <row r="442" ht="15.75" customHeight="1" s="77"/>
    <row r="443" ht="15.75" customHeight="1" s="77"/>
    <row r="444" ht="15.75" customHeight="1" s="77"/>
    <row r="445" ht="15.75" customHeight="1" s="77"/>
    <row r="446" ht="15.75" customHeight="1" s="77"/>
    <row r="447" ht="15.75" customHeight="1" s="77"/>
    <row r="448" ht="15.75" customHeight="1" s="77"/>
    <row r="449" ht="15.75" customHeight="1" s="77"/>
    <row r="450" ht="15.75" customHeight="1" s="77"/>
    <row r="451" ht="15.75" customHeight="1" s="77"/>
    <row r="452" ht="15.75" customHeight="1" s="77"/>
    <row r="453" ht="15.75" customHeight="1" s="77"/>
    <row r="454" ht="15.75" customHeight="1" s="77"/>
    <row r="455" ht="15.75" customHeight="1" s="77"/>
    <row r="456" ht="15.75" customHeight="1" s="77"/>
    <row r="457" ht="15.75" customHeight="1" s="77"/>
    <row r="458" ht="15.75" customHeight="1" s="77"/>
    <row r="459" ht="15.75" customHeight="1" s="77"/>
    <row r="460" ht="15.75" customHeight="1" s="77"/>
    <row r="461" ht="15.75" customHeight="1" s="77"/>
    <row r="462" ht="15.75" customHeight="1" s="77"/>
    <row r="463" ht="15.75" customHeight="1" s="77"/>
    <row r="464" ht="15.75" customHeight="1" s="77"/>
    <row r="465" ht="15.75" customHeight="1" s="77"/>
    <row r="466" ht="15.75" customHeight="1" s="77"/>
    <row r="467" ht="15.75" customHeight="1" s="77"/>
    <row r="468" ht="15.75" customHeight="1" s="77"/>
    <row r="469" ht="15.75" customHeight="1" s="77"/>
    <row r="470" ht="15.75" customHeight="1" s="77"/>
    <row r="471" ht="15.75" customHeight="1" s="77"/>
    <row r="472" ht="15.75" customHeight="1" s="77"/>
    <row r="473" ht="15.75" customHeight="1" s="77"/>
    <row r="474" ht="15.75" customHeight="1" s="77"/>
    <row r="475" ht="15.75" customHeight="1" s="77"/>
    <row r="476" ht="15.75" customHeight="1" s="77"/>
    <row r="477" ht="15.75" customHeight="1" s="77"/>
    <row r="478" ht="15.75" customHeight="1" s="77"/>
    <row r="479" ht="15.75" customHeight="1" s="77"/>
    <row r="480" ht="15.75" customHeight="1" s="77"/>
    <row r="481" ht="15.75" customHeight="1" s="77"/>
    <row r="482" ht="15.75" customHeight="1" s="77"/>
    <row r="483" ht="15.75" customHeight="1" s="77"/>
    <row r="484" ht="15.75" customHeight="1" s="77"/>
    <row r="485" ht="15.75" customHeight="1" s="77"/>
    <row r="486" ht="15.75" customHeight="1" s="77"/>
    <row r="487" ht="15.75" customHeight="1" s="77"/>
    <row r="488" ht="15.75" customHeight="1" s="77"/>
    <row r="489" ht="15.75" customHeight="1" s="77"/>
    <row r="490" ht="15.75" customHeight="1" s="77"/>
    <row r="491" ht="15.75" customHeight="1" s="77"/>
    <row r="492" ht="15.75" customHeight="1" s="77"/>
    <row r="493" ht="15.75" customHeight="1" s="77"/>
    <row r="494" ht="15.75" customHeight="1" s="77"/>
    <row r="495" ht="15.75" customHeight="1" s="77"/>
    <row r="496" ht="15.75" customHeight="1" s="77"/>
    <row r="497" ht="15.75" customHeight="1" s="77"/>
    <row r="498" ht="15.75" customHeight="1" s="77"/>
    <row r="499" ht="15.75" customHeight="1" s="77"/>
    <row r="500" ht="15.75" customHeight="1" s="77"/>
    <row r="501" ht="15.75" customHeight="1" s="77"/>
    <row r="502" ht="15.75" customHeight="1" s="77"/>
    <row r="503" ht="15.75" customHeight="1" s="77"/>
    <row r="504" ht="15.75" customHeight="1" s="77"/>
    <row r="505" ht="15.75" customHeight="1" s="77"/>
    <row r="506" ht="15.75" customHeight="1" s="77"/>
    <row r="507" ht="15.75" customHeight="1" s="77"/>
    <row r="508" ht="15.75" customHeight="1" s="77"/>
    <row r="509" ht="15.75" customHeight="1" s="77"/>
    <row r="510" ht="15.75" customHeight="1" s="77"/>
    <row r="511" ht="15.75" customHeight="1" s="77"/>
    <row r="512" ht="15.75" customHeight="1" s="77"/>
    <row r="513" ht="15.75" customHeight="1" s="77"/>
    <row r="514" ht="15.75" customHeight="1" s="77"/>
    <row r="515" ht="15.75" customHeight="1" s="77"/>
    <row r="516" ht="15.75" customHeight="1" s="77"/>
    <row r="517" ht="15.75" customHeight="1" s="77"/>
    <row r="518" ht="15.75" customHeight="1" s="77"/>
    <row r="519" ht="15.75" customHeight="1" s="77"/>
    <row r="520" ht="15.75" customHeight="1" s="77"/>
    <row r="521" ht="15.75" customHeight="1" s="77"/>
    <row r="522" ht="15.75" customHeight="1" s="77"/>
    <row r="523" ht="15.75" customHeight="1" s="77"/>
    <row r="524" ht="15.75" customHeight="1" s="77"/>
    <row r="525" ht="15.75" customHeight="1" s="77"/>
    <row r="526" ht="15.75" customHeight="1" s="77"/>
    <row r="527" ht="15.75" customHeight="1" s="77"/>
    <row r="528" ht="15.75" customHeight="1" s="77"/>
    <row r="529" ht="15.75" customHeight="1" s="77"/>
    <row r="530" ht="15.75" customHeight="1" s="77"/>
    <row r="531" ht="15.75" customHeight="1" s="77"/>
    <row r="532" ht="15.75" customHeight="1" s="77"/>
    <row r="533" ht="15.75" customHeight="1" s="77"/>
    <row r="534" ht="15.75" customHeight="1" s="77"/>
    <row r="535" ht="15.75" customHeight="1" s="77"/>
    <row r="536" ht="15.75" customHeight="1" s="77"/>
    <row r="537" ht="15.75" customHeight="1" s="77"/>
    <row r="538" ht="15.75" customHeight="1" s="77"/>
    <row r="539" ht="15.75" customHeight="1" s="77"/>
    <row r="540" ht="15.75" customHeight="1" s="77"/>
    <row r="541" ht="15.75" customHeight="1" s="77"/>
    <row r="542" ht="15.75" customHeight="1" s="77"/>
    <row r="543" ht="15.75" customHeight="1" s="77"/>
    <row r="544" ht="15.75" customHeight="1" s="77"/>
    <row r="545" ht="15.75" customHeight="1" s="77"/>
    <row r="546" ht="15.75" customHeight="1" s="77"/>
    <row r="547" ht="15.75" customHeight="1" s="77"/>
    <row r="548" ht="15.75" customHeight="1" s="77"/>
    <row r="549" ht="15.75" customHeight="1" s="77"/>
    <row r="550" ht="15.75" customHeight="1" s="77"/>
    <row r="551" ht="15.75" customHeight="1" s="77"/>
    <row r="552" ht="15.75" customHeight="1" s="77"/>
    <row r="553" ht="15.75" customHeight="1" s="77"/>
    <row r="554" ht="15.75" customHeight="1" s="77"/>
    <row r="555" ht="15.75" customHeight="1" s="77"/>
    <row r="556" ht="15.75" customHeight="1" s="77"/>
    <row r="557" ht="15.75" customHeight="1" s="77"/>
    <row r="558" ht="15.75" customHeight="1" s="77"/>
    <row r="559" ht="15.75" customHeight="1" s="77"/>
    <row r="560" ht="15.75" customHeight="1" s="77"/>
    <row r="561" ht="15.75" customHeight="1" s="77"/>
    <row r="562" ht="15.75" customHeight="1" s="77"/>
    <row r="563" ht="15.75" customHeight="1" s="77"/>
    <row r="564" ht="15.75" customHeight="1" s="77"/>
    <row r="565" ht="15.75" customHeight="1" s="77"/>
    <row r="566" ht="15.75" customHeight="1" s="77"/>
    <row r="567" ht="15.75" customHeight="1" s="77"/>
    <row r="568" ht="15.75" customHeight="1" s="77"/>
    <row r="569" ht="15.75" customHeight="1" s="77"/>
    <row r="570" ht="15.75" customHeight="1" s="77"/>
    <row r="571" ht="15.75" customHeight="1" s="77"/>
    <row r="572" ht="15.75" customHeight="1" s="77"/>
    <row r="573" ht="15.75" customHeight="1" s="77"/>
    <row r="574" ht="15.75" customHeight="1" s="77"/>
    <row r="575" ht="15.75" customHeight="1" s="77"/>
    <row r="576" ht="15.75" customHeight="1" s="77"/>
    <row r="577" ht="15.75" customHeight="1" s="77"/>
    <row r="578" ht="15.75" customHeight="1" s="77"/>
    <row r="579" ht="15.75" customHeight="1" s="77"/>
    <row r="580" ht="15.75" customHeight="1" s="77"/>
    <row r="581" ht="15.75" customHeight="1" s="77"/>
    <row r="582" ht="15.75" customHeight="1" s="77"/>
    <row r="583" ht="15.75" customHeight="1" s="77"/>
    <row r="584" ht="15.75" customHeight="1" s="77"/>
    <row r="585" ht="15.75" customHeight="1" s="77"/>
    <row r="586" ht="15.75" customHeight="1" s="77"/>
    <row r="587" ht="15.75" customHeight="1" s="77"/>
    <row r="588" ht="15.75" customHeight="1" s="77"/>
    <row r="589" ht="15.75" customHeight="1" s="77"/>
    <row r="590" ht="15.75" customHeight="1" s="77"/>
    <row r="591" ht="15.75" customHeight="1" s="77"/>
    <row r="592" ht="15.75" customHeight="1" s="77"/>
    <row r="593" ht="15.75" customHeight="1" s="77"/>
    <row r="594" ht="15.75" customHeight="1" s="77"/>
    <row r="595" ht="15.75" customHeight="1" s="77"/>
    <row r="596" ht="15.75" customHeight="1" s="77"/>
    <row r="597" ht="15.75" customHeight="1" s="77"/>
    <row r="598" ht="15.75" customHeight="1" s="77"/>
    <row r="599" ht="15.75" customHeight="1" s="77"/>
    <row r="600" ht="15.75" customHeight="1" s="77"/>
    <row r="601" ht="15.75" customHeight="1" s="77"/>
    <row r="602" ht="15.75" customHeight="1" s="77"/>
    <row r="603" ht="15.75" customHeight="1" s="77"/>
    <row r="604" ht="15.75" customHeight="1" s="77"/>
    <row r="605" ht="15.75" customHeight="1" s="77"/>
    <row r="606" ht="15.75" customHeight="1" s="77"/>
    <row r="607" ht="15.75" customHeight="1" s="77"/>
    <row r="608" ht="15.75" customHeight="1" s="77"/>
    <row r="609" ht="15.75" customHeight="1" s="77"/>
    <row r="610" ht="15.75" customHeight="1" s="77"/>
    <row r="611" ht="15.75" customHeight="1" s="77"/>
    <row r="612" ht="15.75" customHeight="1" s="77"/>
    <row r="613" ht="15.75" customHeight="1" s="77"/>
    <row r="614" ht="15.75" customHeight="1" s="77"/>
    <row r="615" ht="15.75" customHeight="1" s="77"/>
    <row r="616" ht="15.75" customHeight="1" s="77"/>
    <row r="617" ht="15.75" customHeight="1" s="77"/>
    <row r="618" ht="15.75" customHeight="1" s="77"/>
    <row r="619" ht="15.75" customHeight="1" s="77"/>
    <row r="620" ht="15.75" customHeight="1" s="77"/>
    <row r="621" ht="15.75" customHeight="1" s="77"/>
    <row r="622" ht="15.75" customHeight="1" s="77"/>
    <row r="623" ht="15.75" customHeight="1" s="77"/>
    <row r="624" ht="15.75" customHeight="1" s="77"/>
    <row r="625" ht="15.75" customHeight="1" s="77"/>
    <row r="626" ht="15.75" customHeight="1" s="77"/>
    <row r="627" ht="15.75" customHeight="1" s="77"/>
    <row r="628" ht="15.75" customHeight="1" s="77"/>
    <row r="629" ht="15.75" customHeight="1" s="77"/>
    <row r="630" ht="15.75" customHeight="1" s="77"/>
    <row r="631" ht="15.75" customHeight="1" s="77"/>
    <row r="632" ht="15.75" customHeight="1" s="77"/>
    <row r="633" ht="15.75" customHeight="1" s="77"/>
    <row r="634" ht="15.75" customHeight="1" s="77"/>
    <row r="635" ht="15.75" customHeight="1" s="77"/>
    <row r="636" ht="15.75" customHeight="1" s="77"/>
    <row r="637" ht="15.75" customHeight="1" s="77"/>
    <row r="638" ht="15.75" customHeight="1" s="77"/>
    <row r="639" ht="15.75" customHeight="1" s="77"/>
    <row r="640" ht="15.75" customHeight="1" s="77"/>
    <row r="641" ht="15.75" customHeight="1" s="77"/>
    <row r="642" ht="15.75" customHeight="1" s="77"/>
    <row r="643" ht="15.75" customHeight="1" s="77"/>
    <row r="644" ht="15.75" customHeight="1" s="77"/>
    <row r="645" ht="15.75" customHeight="1" s="77"/>
    <row r="646" ht="15.75" customHeight="1" s="77"/>
    <row r="647" ht="15.75" customHeight="1" s="77"/>
    <row r="648" ht="15.75" customHeight="1" s="77"/>
    <row r="649" ht="15.75" customHeight="1" s="77"/>
    <row r="650" ht="15.75" customHeight="1" s="77"/>
    <row r="651" ht="15.75" customHeight="1" s="77"/>
    <row r="652" ht="15.75" customHeight="1" s="77"/>
    <row r="653" ht="15.75" customHeight="1" s="77"/>
    <row r="654" ht="15.75" customHeight="1" s="77"/>
    <row r="655" ht="15.75" customHeight="1" s="77"/>
    <row r="656" ht="15.75" customHeight="1" s="77"/>
    <row r="657" ht="15.75" customHeight="1" s="77"/>
    <row r="658" ht="15.75" customHeight="1" s="77"/>
    <row r="659" ht="15.75" customHeight="1" s="77"/>
    <row r="660" ht="15.75" customHeight="1" s="77"/>
    <row r="661" ht="15.75" customHeight="1" s="77"/>
    <row r="662" ht="15.75" customHeight="1" s="77"/>
    <row r="663" ht="15.75" customHeight="1" s="77"/>
    <row r="664" ht="15.75" customHeight="1" s="77"/>
    <row r="665" ht="15.75" customHeight="1" s="77"/>
    <row r="666" ht="15.75" customHeight="1" s="77"/>
    <row r="667" ht="15.75" customHeight="1" s="77"/>
    <row r="668" ht="15.75" customHeight="1" s="77"/>
    <row r="669" ht="15.75" customHeight="1" s="77"/>
    <row r="670" ht="15.75" customHeight="1" s="77"/>
    <row r="671" ht="15.75" customHeight="1" s="77"/>
    <row r="672" ht="15.75" customHeight="1" s="77"/>
    <row r="673" ht="15.75" customHeight="1" s="77"/>
    <row r="674" ht="15.75" customHeight="1" s="77"/>
    <row r="675" ht="15.75" customHeight="1" s="77"/>
    <row r="676" ht="15.75" customHeight="1" s="77"/>
    <row r="677" ht="15.75" customHeight="1" s="77"/>
    <row r="678" ht="15.75" customHeight="1" s="77"/>
    <row r="679" ht="15.75" customHeight="1" s="77"/>
    <row r="680" ht="15.75" customHeight="1" s="77"/>
    <row r="681" ht="15.75" customHeight="1" s="77"/>
    <row r="682" ht="15.75" customHeight="1" s="77"/>
    <row r="683" ht="15.75" customHeight="1" s="77"/>
    <row r="684" ht="15.75" customHeight="1" s="77"/>
    <row r="685" ht="15.75" customHeight="1" s="77"/>
    <row r="686" ht="15.75" customHeight="1" s="77"/>
    <row r="687" ht="15.75" customHeight="1" s="77"/>
    <row r="688" ht="15.75" customHeight="1" s="77"/>
    <row r="689" ht="15.75" customHeight="1" s="77"/>
    <row r="690" ht="15.75" customHeight="1" s="77"/>
    <row r="691" ht="15.75" customHeight="1" s="77"/>
    <row r="692" ht="15.75" customHeight="1" s="77"/>
    <row r="693" ht="15.75" customHeight="1" s="77"/>
    <row r="694" ht="15.75" customHeight="1" s="77"/>
    <row r="695" ht="15.75" customHeight="1" s="77"/>
    <row r="696" ht="15.75" customHeight="1" s="77"/>
    <row r="697" ht="15.75" customHeight="1" s="77"/>
    <row r="698" ht="15.75" customHeight="1" s="77"/>
    <row r="699" ht="15.75" customHeight="1" s="77"/>
    <row r="700" ht="15.75" customHeight="1" s="77"/>
    <row r="701" ht="15.75" customHeight="1" s="77"/>
    <row r="702" ht="15.75" customHeight="1" s="77"/>
    <row r="703" ht="15.75" customHeight="1" s="77"/>
    <row r="704" ht="15.75" customHeight="1" s="77"/>
    <row r="705" ht="15.75" customHeight="1" s="77"/>
    <row r="706" ht="15.75" customHeight="1" s="77"/>
    <row r="707" ht="15.75" customHeight="1" s="77"/>
    <row r="708" ht="15.75" customHeight="1" s="77"/>
    <row r="709" ht="15.75" customHeight="1" s="77"/>
    <row r="710" ht="15.75" customHeight="1" s="77"/>
    <row r="711" ht="15.75" customHeight="1" s="77"/>
    <row r="712" ht="15.75" customHeight="1" s="77"/>
    <row r="713" ht="15.75" customHeight="1" s="77"/>
    <row r="714" ht="15.75" customHeight="1" s="77"/>
    <row r="715" ht="15.75" customHeight="1" s="77"/>
    <row r="716" ht="15.75" customHeight="1" s="77"/>
    <row r="717" ht="15.75" customHeight="1" s="77"/>
    <row r="718" ht="15.75" customHeight="1" s="77"/>
    <row r="719" ht="15.75" customHeight="1" s="77"/>
    <row r="720" ht="15.75" customHeight="1" s="77"/>
    <row r="721" ht="15.75" customHeight="1" s="77"/>
    <row r="722" ht="15.75" customHeight="1" s="77"/>
    <row r="723" ht="15.75" customHeight="1" s="77"/>
    <row r="724" ht="15.75" customHeight="1" s="77"/>
    <row r="725" ht="15.75" customHeight="1" s="77"/>
    <row r="726" ht="15.75" customHeight="1" s="77"/>
    <row r="727" ht="15.75" customHeight="1" s="77"/>
    <row r="728" ht="15.75" customHeight="1" s="77"/>
    <row r="729" ht="15.75" customHeight="1" s="77"/>
    <row r="730" ht="15.75" customHeight="1" s="77"/>
    <row r="731" ht="15.75" customHeight="1" s="77"/>
    <row r="732" ht="15.75" customHeight="1" s="77"/>
    <row r="733" ht="15.75" customHeight="1" s="77"/>
    <row r="734" ht="15.75" customHeight="1" s="77"/>
    <row r="735" ht="15.75" customHeight="1" s="77"/>
    <row r="736" ht="15.75" customHeight="1" s="77"/>
    <row r="737" ht="15.75" customHeight="1" s="77"/>
    <row r="738" ht="15.75" customHeight="1" s="77"/>
    <row r="739" ht="15.75" customHeight="1" s="77"/>
    <row r="740" ht="15.75" customHeight="1" s="77"/>
    <row r="741" ht="15.75" customHeight="1" s="77"/>
    <row r="742" ht="15.75" customHeight="1" s="77"/>
    <row r="743" ht="15.75" customHeight="1" s="77"/>
    <row r="744" ht="15.75" customHeight="1" s="77"/>
    <row r="745" ht="15.75" customHeight="1" s="77"/>
    <row r="746" ht="15.75" customHeight="1" s="77"/>
    <row r="747" ht="15.75" customHeight="1" s="77"/>
    <row r="748" ht="15.75" customHeight="1" s="77"/>
    <row r="749" ht="15.75" customHeight="1" s="77"/>
    <row r="750" ht="15.75" customHeight="1" s="77"/>
    <row r="751" ht="15.75" customHeight="1" s="77"/>
    <row r="752" ht="15.75" customHeight="1" s="77"/>
    <row r="753" ht="15.75" customHeight="1" s="77"/>
    <row r="754" ht="15.75" customHeight="1" s="77"/>
    <row r="755" ht="15.75" customHeight="1" s="77"/>
    <row r="756" ht="15.75" customHeight="1" s="77"/>
    <row r="757" ht="15.75" customHeight="1" s="77"/>
    <row r="758" ht="15.75" customHeight="1" s="77"/>
    <row r="759" ht="15.75" customHeight="1" s="77"/>
    <row r="760" ht="15.75" customHeight="1" s="77"/>
    <row r="761" ht="15.75" customHeight="1" s="77"/>
    <row r="762" ht="15.75" customHeight="1" s="77"/>
    <row r="763" ht="15.75" customHeight="1" s="77"/>
    <row r="764" ht="15.75" customHeight="1" s="77"/>
    <row r="765" ht="15.75" customHeight="1" s="77"/>
    <row r="766" ht="15.75" customHeight="1" s="77"/>
    <row r="767" ht="15.75" customHeight="1" s="77"/>
    <row r="768" ht="15.75" customHeight="1" s="77"/>
    <row r="769" ht="15.75" customHeight="1" s="77"/>
    <row r="770" ht="15.75" customHeight="1" s="77"/>
    <row r="771" ht="15.75" customHeight="1" s="77"/>
    <row r="772" ht="15.75" customHeight="1" s="77"/>
    <row r="773" ht="15.75" customHeight="1" s="77"/>
    <row r="774" ht="15.75" customHeight="1" s="77"/>
    <row r="775" ht="15.75" customHeight="1" s="77"/>
    <row r="776" ht="15.75" customHeight="1" s="77"/>
    <row r="777" ht="15.75" customHeight="1" s="77"/>
    <row r="778" ht="15.75" customHeight="1" s="77"/>
    <row r="779" ht="15.75" customHeight="1" s="77"/>
    <row r="780" ht="15.75" customHeight="1" s="77"/>
    <row r="781" ht="15.75" customHeight="1" s="77"/>
    <row r="782" ht="15.75" customHeight="1" s="77"/>
    <row r="783" ht="15.75" customHeight="1" s="77"/>
    <row r="784" ht="15.75" customHeight="1" s="77"/>
    <row r="785" ht="15.75" customHeight="1" s="77"/>
    <row r="786" ht="15.75" customHeight="1" s="77"/>
    <row r="787" ht="15.75" customHeight="1" s="77"/>
    <row r="788" ht="15.75" customHeight="1" s="77"/>
    <row r="789" ht="15.75" customHeight="1" s="77"/>
    <row r="790" ht="15.75" customHeight="1" s="77"/>
    <row r="791" ht="15.75" customHeight="1" s="77"/>
    <row r="792" ht="15.75" customHeight="1" s="77"/>
    <row r="793" ht="15.75" customHeight="1" s="77"/>
    <row r="794" ht="15.75" customHeight="1" s="77"/>
    <row r="795" ht="15.75" customHeight="1" s="77"/>
    <row r="796" ht="15.75" customHeight="1" s="77"/>
    <row r="797" ht="15.75" customHeight="1" s="77"/>
    <row r="798" ht="15.75" customHeight="1" s="77"/>
    <row r="799" ht="15.75" customHeight="1" s="77"/>
    <row r="800" ht="15.75" customHeight="1" s="77"/>
    <row r="801" ht="15.75" customHeight="1" s="77"/>
    <row r="802" ht="15.75" customHeight="1" s="77"/>
    <row r="803" ht="15.75" customHeight="1" s="77"/>
    <row r="804" ht="15.75" customHeight="1" s="77"/>
    <row r="805" ht="15.75" customHeight="1" s="77"/>
    <row r="806" ht="15.75" customHeight="1" s="77"/>
    <row r="807" ht="15.75" customHeight="1" s="77"/>
    <row r="808" ht="15.75" customHeight="1" s="77"/>
    <row r="809" ht="15.75" customHeight="1" s="77"/>
    <row r="810" ht="15.75" customHeight="1" s="77"/>
    <row r="811" ht="15.75" customHeight="1" s="77"/>
    <row r="812" ht="15.75" customHeight="1" s="77"/>
    <row r="813" ht="15.75" customHeight="1" s="77"/>
    <row r="814" ht="15.75" customHeight="1" s="77"/>
    <row r="815" ht="15.75" customHeight="1" s="77"/>
    <row r="816" ht="15.75" customHeight="1" s="77"/>
    <row r="817" ht="15.75" customHeight="1" s="77"/>
    <row r="818" ht="15.75" customHeight="1" s="77"/>
    <row r="819" ht="15.75" customHeight="1" s="77"/>
    <row r="820" ht="15.75" customHeight="1" s="77"/>
    <row r="821" ht="15.75" customHeight="1" s="77"/>
    <row r="822" ht="15.75" customHeight="1" s="77"/>
    <row r="823" ht="15.75" customHeight="1" s="77"/>
    <row r="824" ht="15.75" customHeight="1" s="77"/>
    <row r="825" ht="15.75" customHeight="1" s="77"/>
    <row r="826" ht="15.75" customHeight="1" s="77"/>
    <row r="827" ht="15.75" customHeight="1" s="77"/>
    <row r="828" ht="15.75" customHeight="1" s="77"/>
    <row r="829" ht="15.75" customHeight="1" s="77"/>
    <row r="830" ht="15.75" customHeight="1" s="77"/>
    <row r="831" ht="15.75" customHeight="1" s="77"/>
    <row r="832" ht="15.75" customHeight="1" s="77"/>
    <row r="833" ht="15.75" customHeight="1" s="77"/>
    <row r="834" ht="15.75" customHeight="1" s="77"/>
    <row r="835" ht="15.75" customHeight="1" s="77"/>
    <row r="836" ht="15.75" customHeight="1" s="77"/>
    <row r="837" ht="15.75" customHeight="1" s="77"/>
    <row r="838" ht="15.75" customHeight="1" s="77"/>
    <row r="839" ht="15.75" customHeight="1" s="77"/>
    <row r="840" ht="15.75" customHeight="1" s="77"/>
    <row r="841" ht="15.75" customHeight="1" s="77"/>
    <row r="842" ht="15.75" customHeight="1" s="77"/>
    <row r="843" ht="15.75" customHeight="1" s="77"/>
    <row r="844" ht="15.75" customHeight="1" s="77"/>
    <row r="845" ht="15.75" customHeight="1" s="77"/>
    <row r="846" ht="15.75" customHeight="1" s="77"/>
    <row r="847" ht="15.75" customHeight="1" s="77"/>
    <row r="848" ht="15.75" customHeight="1" s="77"/>
    <row r="849" ht="15.75" customHeight="1" s="77"/>
    <row r="850" ht="15.75" customHeight="1" s="77"/>
    <row r="851" ht="15.75" customHeight="1" s="77"/>
    <row r="852" ht="15.75" customHeight="1" s="77"/>
    <row r="853" ht="15.75" customHeight="1" s="77"/>
    <row r="854" ht="15.75" customHeight="1" s="77"/>
    <row r="855" ht="15.75" customHeight="1" s="77"/>
    <row r="856" ht="15.75" customHeight="1" s="77"/>
    <row r="857" ht="15.75" customHeight="1" s="77"/>
    <row r="858" ht="15.75" customHeight="1" s="77"/>
    <row r="859" ht="15.75" customHeight="1" s="77"/>
    <row r="860" ht="15.75" customHeight="1" s="77"/>
    <row r="861" ht="15.75" customHeight="1" s="77"/>
    <row r="862" ht="15.75" customHeight="1" s="77"/>
    <row r="863" ht="15.75" customHeight="1" s="77"/>
    <row r="864" ht="15.75" customHeight="1" s="77"/>
    <row r="865" ht="15.75" customHeight="1" s="77"/>
    <row r="866" ht="15.75" customHeight="1" s="77"/>
    <row r="867" ht="15.75" customHeight="1" s="77"/>
    <row r="868" ht="15.75" customHeight="1" s="77"/>
    <row r="869" ht="15.75" customHeight="1" s="77"/>
    <row r="870" ht="15.75" customHeight="1" s="77"/>
    <row r="871" ht="15.75" customHeight="1" s="77"/>
    <row r="872" ht="15.75" customHeight="1" s="77"/>
    <row r="873" ht="15.75" customHeight="1" s="77"/>
    <row r="874" ht="15.75" customHeight="1" s="77"/>
    <row r="875" ht="15.75" customHeight="1" s="77"/>
    <row r="876" ht="15.75" customHeight="1" s="77"/>
    <row r="877" ht="15.75" customHeight="1" s="77"/>
    <row r="878" ht="15.75" customHeight="1" s="77"/>
    <row r="879" ht="15.75" customHeight="1" s="77"/>
    <row r="880" ht="15.75" customHeight="1" s="77"/>
    <row r="881" ht="15.75" customHeight="1" s="77"/>
    <row r="882" ht="15.75" customHeight="1" s="77"/>
    <row r="883" ht="15.75" customHeight="1" s="77"/>
    <row r="884" ht="15.75" customHeight="1" s="77"/>
    <row r="885" ht="15.75" customHeight="1" s="77"/>
    <row r="886" ht="15.75" customHeight="1" s="77"/>
    <row r="887" ht="15.75" customHeight="1" s="77"/>
    <row r="888" ht="15.75" customHeight="1" s="77"/>
    <row r="889" ht="15.75" customHeight="1" s="77"/>
    <row r="890" ht="15.75" customHeight="1" s="77"/>
    <row r="891" ht="15.75" customHeight="1" s="77"/>
    <row r="892" ht="15.75" customHeight="1" s="77"/>
    <row r="893" ht="15.75" customHeight="1" s="77"/>
    <row r="894" ht="15.75" customHeight="1" s="77"/>
    <row r="895" ht="15.75" customHeight="1" s="77"/>
    <row r="896" ht="15.75" customHeight="1" s="77"/>
    <row r="897" ht="15.75" customHeight="1" s="77"/>
    <row r="898" ht="15.75" customHeight="1" s="77"/>
    <row r="899" ht="15.75" customHeight="1" s="77"/>
    <row r="900" ht="15.75" customHeight="1" s="77"/>
    <row r="901" ht="15.75" customHeight="1" s="77"/>
    <row r="902" ht="15.75" customHeight="1" s="77"/>
    <row r="903" ht="15.75" customHeight="1" s="77"/>
    <row r="904" ht="15.75" customHeight="1" s="77"/>
    <row r="905" ht="15.75" customHeight="1" s="77"/>
    <row r="906" ht="15.75" customHeight="1" s="77"/>
    <row r="907" ht="15.75" customHeight="1" s="77"/>
    <row r="908" ht="15.75" customHeight="1" s="77"/>
    <row r="909" ht="15.75" customHeight="1" s="77"/>
    <row r="910" ht="15.75" customHeight="1" s="77"/>
    <row r="911" ht="15.75" customHeight="1" s="77"/>
    <row r="912" ht="15.75" customHeight="1" s="77"/>
    <row r="913" ht="15.75" customHeight="1" s="77"/>
    <row r="914" ht="15.75" customHeight="1" s="77"/>
    <row r="915" ht="15.75" customHeight="1" s="77"/>
    <row r="916" ht="15.75" customHeight="1" s="77"/>
    <row r="917" ht="15.75" customHeight="1" s="77"/>
    <row r="918" ht="15.75" customHeight="1" s="77"/>
    <row r="919" ht="15.75" customHeight="1" s="77"/>
    <row r="920" ht="15.75" customHeight="1" s="77"/>
    <row r="921" ht="15.75" customHeight="1" s="77"/>
    <row r="922" ht="15.75" customHeight="1" s="77"/>
    <row r="923" ht="15.75" customHeight="1" s="77"/>
    <row r="924" ht="15.75" customHeight="1" s="77"/>
    <row r="925" ht="15.75" customHeight="1" s="77"/>
    <row r="926" ht="15.75" customHeight="1" s="77"/>
    <row r="927" ht="15.75" customHeight="1" s="77"/>
    <row r="928" ht="15.75" customHeight="1" s="77"/>
    <row r="929" ht="15.75" customHeight="1" s="77"/>
    <row r="930" ht="15.75" customHeight="1" s="77"/>
    <row r="931" ht="15.75" customHeight="1" s="77"/>
    <row r="932" ht="15.75" customHeight="1" s="77"/>
    <row r="933" ht="15.75" customHeight="1" s="77"/>
    <row r="934" ht="15.75" customHeight="1" s="77"/>
    <row r="935" ht="15.75" customHeight="1" s="77"/>
    <row r="936" ht="15.75" customHeight="1" s="77"/>
    <row r="937" ht="15.75" customHeight="1" s="77"/>
    <row r="938" ht="15.75" customHeight="1" s="77"/>
    <row r="939" ht="15.75" customHeight="1" s="77"/>
    <row r="940" ht="15.75" customHeight="1" s="77"/>
    <row r="941" ht="15.75" customHeight="1" s="77"/>
    <row r="942" ht="15.75" customHeight="1" s="77"/>
    <row r="943" ht="15.75" customHeight="1" s="77"/>
    <row r="944" ht="15.75" customHeight="1" s="77"/>
    <row r="945" ht="15.75" customHeight="1" s="77"/>
    <row r="946" ht="15.75" customHeight="1" s="77"/>
    <row r="947" ht="15.75" customHeight="1" s="77"/>
    <row r="948" ht="15.75" customHeight="1" s="77"/>
    <row r="949" ht="15.75" customHeight="1" s="77"/>
    <row r="950" ht="15.75" customHeight="1" s="77"/>
    <row r="951" ht="15.75" customHeight="1" s="77"/>
    <row r="952" ht="15.75" customHeight="1" s="77"/>
    <row r="953" ht="15.75" customHeight="1" s="77"/>
    <row r="954" ht="15.75" customHeight="1" s="77"/>
    <row r="955" ht="15.75" customHeight="1" s="77"/>
    <row r="956" ht="15.75" customHeight="1" s="77"/>
    <row r="957" ht="15.75" customHeight="1" s="77"/>
    <row r="958" ht="15.75" customHeight="1" s="77"/>
    <row r="959" ht="15.75" customHeight="1" s="77"/>
    <row r="960" ht="15.75" customHeight="1" s="77"/>
    <row r="961" ht="15.75" customHeight="1" s="77"/>
    <row r="962" ht="15.75" customHeight="1" s="77"/>
    <row r="963" ht="15.75" customHeight="1" s="77"/>
    <row r="964" ht="15.75" customHeight="1" s="77"/>
    <row r="965" ht="15.75" customHeight="1" s="77"/>
    <row r="966" ht="15.75" customHeight="1" s="77"/>
    <row r="967" ht="15.75" customHeight="1" s="77"/>
    <row r="968" ht="15.75" customHeight="1" s="77"/>
    <row r="969" ht="15.75" customHeight="1" s="77"/>
    <row r="970" ht="15.75" customHeight="1" s="77"/>
    <row r="971" ht="15.75" customHeight="1" s="77"/>
    <row r="972" ht="15.75" customHeight="1" s="77"/>
    <row r="973" ht="15.75" customHeight="1" s="77"/>
    <row r="974" ht="15.75" customHeight="1" s="77"/>
    <row r="975" ht="15.75" customHeight="1" s="77"/>
    <row r="976" ht="15.75" customHeight="1" s="77"/>
    <row r="977" ht="15.75" customHeight="1" s="77"/>
    <row r="978" ht="15.75" customHeight="1" s="77"/>
    <row r="979" ht="15.75" customHeight="1" s="77"/>
    <row r="980" ht="15.75" customHeight="1" s="77"/>
    <row r="981" ht="15.75" customHeight="1" s="77"/>
    <row r="982" ht="15.75" customHeight="1" s="77"/>
    <row r="983" ht="15.75" customHeight="1" s="77"/>
    <row r="984" ht="15.75" customHeight="1" s="77"/>
    <row r="985" ht="15.75" customHeight="1" s="77"/>
    <row r="986" ht="15.75" customHeight="1" s="77"/>
    <row r="987" ht="15.75" customHeight="1" s="77"/>
    <row r="988" ht="15.75" customHeight="1" s="77"/>
    <row r="989" ht="15.75" customHeight="1" s="77"/>
    <row r="990" ht="15.75" customHeight="1" s="77"/>
    <row r="991" ht="15.75" customHeight="1" s="77"/>
    <row r="992" ht="15.75" customHeight="1" s="77"/>
    <row r="993" ht="15.75" customHeight="1" s="77"/>
    <row r="994" ht="15.75" customHeight="1" s="77"/>
    <row r="995" ht="15.75" customHeight="1" s="77"/>
    <row r="996" ht="15.75" customHeight="1" s="77"/>
    <row r="997" ht="15.75" customHeight="1" s="77"/>
    <row r="998" ht="15.75" customHeight="1" s="77"/>
    <row r="999" ht="15.75" customHeight="1" s="77"/>
    <row r="1000" ht="15.75" customHeight="1" s="77"/>
  </sheetData>
  <mergeCells count="20">
    <mergeCell ref="A37:BI37"/>
    <mergeCell ref="O42:AA42"/>
    <mergeCell ref="A26:BI26"/>
    <mergeCell ref="A3:F3"/>
    <mergeCell ref="AB28:AN28"/>
    <mergeCell ref="AB42:AN42"/>
    <mergeCell ref="A5:F5"/>
    <mergeCell ref="O28:AA28"/>
    <mergeCell ref="BB28:BN28"/>
    <mergeCell ref="AO28:BA28"/>
    <mergeCell ref="A40:BI40"/>
    <mergeCell ref="A39:BI39"/>
    <mergeCell ref="A15:F15"/>
    <mergeCell ref="B42:N42"/>
    <mergeCell ref="A51:BI51"/>
    <mergeCell ref="BB42:BN42"/>
    <mergeCell ref="A1:F1"/>
    <mergeCell ref="AO42:BA42"/>
    <mergeCell ref="A25:BI25"/>
    <mergeCell ref="B28:N28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2026-01-14T15:25:13Z</dcterms:created>
  <dcterms:modified xmlns:dcterms="http://purl.org/dc/terms/" xmlns:xsi="http://www.w3.org/2001/XMLSchema-instance" xsi:type="dcterms:W3CDTF">2026-03-04T13:22:58Z</dcterms:modified>
</cp:coreProperties>
</file>